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https://swissport-my.sharepoint.com/personal/harri_timonen_swissport_com/Documents/Tuontilistat/Data/"/>
    </mc:Choice>
  </mc:AlternateContent>
  <xr:revisionPtr revIDLastSave="1615" documentId="8_{7BB808C0-E21F-4ED1-B46B-86E5980A7168}" xr6:coauthVersionLast="46" xr6:coauthVersionMax="46" xr10:uidLastSave="{A55D03BB-14A6-45AB-93C4-B359275F754E}"/>
  <bookViews>
    <workbookView xWindow="-108" yWindow="-108" windowWidth="23256" windowHeight="12576" activeTab="4" xr2:uid="{00000000-000D-0000-FFFF-FFFF00000000}"/>
  </bookViews>
  <sheets>
    <sheet name="PIVOTS" sheetId="6" r:id="rId1"/>
    <sheet name="uuld" sheetId="9" r:id="rId2"/>
    <sheet name="data" sheetId="5" r:id="rId3"/>
    <sheet name="wsp" sheetId="7" r:id="rId4"/>
    <sheet name="rahtitaksi" sheetId="1" r:id="rId5"/>
  </sheets>
  <definedNames>
    <definedName name="_xlcn.WorksheetConnection_NewMicrosoftExcelWorksheetv2.xlsmdata" hidden="1">data[]</definedName>
    <definedName name="ExternalData_1" localSheetId="2" hidden="1">data!$A$1:$AB$72</definedName>
    <definedName name="ExternalData_1" localSheetId="1" hidden="1">uuld!$A$1:$E$91</definedName>
    <definedName name="_xlnm.Print_Area" localSheetId="3">wsp!$A:$L,wsp!$N:$T</definedName>
    <definedName name="Slicer_CNX_FLT">#N/A</definedName>
    <definedName name="Slicer_FLT_NUM">#N/A</definedName>
    <definedName name="Slicer_IMP_FLT_TYPE">#N/A</definedName>
  </definedNames>
  <calcPr calcId="191029"/>
  <pivotCaches>
    <pivotCache cacheId="20" r:id="rId6"/>
    <pivotCache cacheId="23" r:id="rId7"/>
  </pivotCaches>
  <extLst>
    <ext xmlns:x14="http://schemas.microsoft.com/office/spreadsheetml/2009/9/main" uri="{876F7934-8845-4945-9796-88D515C7AA90}">
      <x14:pivotCaches>
        <pivotCache cacheId="19" r:id="rId8"/>
      </x14:pivotCaches>
    </ex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 name="data" connection="WorksheetConnection_New Microsoft Excel Worksheet v2.xlsm!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F8B0BD-EB09-48CD-B5B7-925B6F27BD9B}" keepAlive="1" name="Query - Sheet0" description="Connection to the 'Sheet0' query in the workbook." type="5" refreshedVersion="6" background="1" saveData="1">
    <dbPr connection="Provider=Microsoft.Mashup.OleDb.1;Data Source=$Workbook$;Location=Sheet0;Extended Properties=&quot;&quot;" command="SELECT * FROM [Sheet0]"/>
  </connection>
  <connection id="2" xr16:uid="{00000000-0015-0000-FFFF-FFFF00000000}" keepAlive="1" name="Query - Table1 (2)" description="Connection to the 'Table1 (2)' query in the workbook." type="5" refreshedVersion="6" background="1" saveData="1">
    <dbPr connection="Provider=Microsoft.Mashup.OleDb.1;Data Source=$Workbook$;Location=Table1 (2);Extended Properties=&quot;&quot;" command="SELECT * FROM [Table1 (2)]"/>
  </connection>
  <connection id="3" xr16:uid="{79CA4EE1-FF70-4AA0-954E-959291401F26}"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4" xr16:uid="{814C7D55-B902-4A69-A716-A9CFABC89DFC}" name="WorksheetConnection_New Microsoft Excel Worksheet v2.xlsm!data" type="102" refreshedVersion="6" minRefreshableVersion="5">
    <extLst>
      <ext xmlns:x15="http://schemas.microsoft.com/office/spreadsheetml/2010/11/main" uri="{DE250136-89BD-433C-8126-D09CA5730AF9}">
        <x15:connection id="data">
          <x15:rangePr sourceName="_xlcn.WorksheetConnection_NewMicrosoftExcelWorksheetv2.xlsmdata"/>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data].[IMP FLT TYPE].&amp;[WB]}"/>
  </metadataStrings>
  <mdxMetadata count="1">
    <mdx n="0" f="s">
      <ms ns="1" c="0"/>
    </mdx>
  </mdxMetadata>
  <valueMetadata count="1">
    <bk>
      <rc t="1" v="0"/>
    </bk>
  </valueMetadata>
</metadata>
</file>

<file path=xl/sharedStrings.xml><?xml version="1.0" encoding="utf-8"?>
<sst xmlns="http://schemas.openxmlformats.org/spreadsheetml/2006/main" count="2043" uniqueCount="380">
  <si>
    <t>SCH ARR TIME</t>
  </si>
  <si>
    <t>FLT NUM</t>
  </si>
  <si>
    <t>ULD ID</t>
  </si>
  <si>
    <t>AWB NUM</t>
  </si>
  <si>
    <t>IMP AC TYPE</t>
  </si>
  <si>
    <t>CNX TIME (24H DAY)</t>
  </si>
  <si>
    <t>ORIG</t>
  </si>
  <si>
    <t>DEST</t>
  </si>
  <si>
    <t>IMP LEG STS</t>
  </si>
  <si>
    <t>BKD SHP WT</t>
  </si>
  <si>
    <t>PROD TYPE</t>
  </si>
  <si>
    <t>LOAD PRIO</t>
  </si>
  <si>
    <t>CNX FLT</t>
  </si>
  <si>
    <t>EXP FLT TYPE</t>
  </si>
  <si>
    <t>SCH DEP TIME</t>
  </si>
  <si>
    <t>CNX MVT STS</t>
  </si>
  <si>
    <t>CNX_TIME</t>
  </si>
  <si>
    <t>CNX_PRIO</t>
  </si>
  <si>
    <t>BKD SHP VOL</t>
  </si>
  <si>
    <t>BKD SHP PCS</t>
  </si>
  <si>
    <t>SCH ARR  DATE</t>
  </si>
  <si>
    <t>SCH ARR TIME2</t>
  </si>
  <si>
    <t>Average of TIME_TO_ARR</t>
  </si>
  <si>
    <t>Average of TIME_TO_RCF</t>
  </si>
  <si>
    <t>CNX HH:MM</t>
  </si>
  <si>
    <t>THRU_UNIT</t>
  </si>
  <si>
    <t>LOAD_TYPE</t>
  </si>
  <si>
    <t>ETA</t>
  </si>
  <si>
    <t>Flt No.</t>
  </si>
  <si>
    <t>Brd</t>
  </si>
  <si>
    <t>AWB</t>
  </si>
  <si>
    <t>Pcs</t>
  </si>
  <si>
    <t>Wt</t>
  </si>
  <si>
    <t>Vol</t>
  </si>
  <si>
    <t>Connection time</t>
  </si>
  <si>
    <t>ProdType</t>
  </si>
  <si>
    <t>ULDs</t>
  </si>
  <si>
    <t>Flights</t>
  </si>
  <si>
    <t>IMP FLT TYPE</t>
  </si>
  <si>
    <t>CNX_FLT</t>
  </si>
  <si>
    <t>Cnx Flt No.</t>
  </si>
  <si>
    <t>Dep Date -Time</t>
  </si>
  <si>
    <t>359</t>
  </si>
  <si>
    <t>1</t>
  </si>
  <si>
    <t>NOT ARR</t>
  </si>
  <si>
    <t>P7</t>
  </si>
  <si>
    <t>RFS</t>
  </si>
  <si>
    <t>BKD</t>
  </si>
  <si>
    <t>ULD</t>
  </si>
  <si>
    <t>WB</t>
  </si>
  <si>
    <t>GCR</t>
  </si>
  <si>
    <t>AMS</t>
  </si>
  <si>
    <t>P2P</t>
  </si>
  <si>
    <t/>
  </si>
  <si>
    <t>HEL</t>
  </si>
  <si>
    <t>0</t>
  </si>
  <si>
    <t>TLL</t>
  </si>
  <si>
    <t>E90</t>
  </si>
  <si>
    <t>NB</t>
  </si>
  <si>
    <t>AT7</t>
  </si>
  <si>
    <t>Grand Total</t>
  </si>
  <si>
    <t>BKD PCS</t>
  </si>
  <si>
    <t>BKD WT</t>
  </si>
  <si>
    <t>BKD VOL</t>
  </si>
  <si>
    <t>LÄPÄRIT</t>
  </si>
  <si>
    <t>BULK</t>
  </si>
  <si>
    <t>2</t>
  </si>
  <si>
    <t>BKK</t>
  </si>
  <si>
    <t>JFK</t>
  </si>
  <si>
    <t>VNO</t>
  </si>
  <si>
    <t>NRT</t>
  </si>
  <si>
    <t>Flight</t>
  </si>
  <si>
    <t>N/A</t>
  </si>
  <si>
    <t>MMX</t>
  </si>
  <si>
    <t>AY9079</t>
  </si>
  <si>
    <t>CPH</t>
  </si>
  <si>
    <t>BRU</t>
  </si>
  <si>
    <t>RIX</t>
  </si>
  <si>
    <t>GOT</t>
  </si>
  <si>
    <t>IMP</t>
  </si>
  <si>
    <t>AY0071</t>
  </si>
  <si>
    <t>OSL</t>
  </si>
  <si>
    <t>ARN</t>
  </si>
  <si>
    <t>FRA</t>
  </si>
  <si>
    <t>AY9063</t>
  </si>
  <si>
    <t>P5</t>
  </si>
  <si>
    <t>LHR</t>
  </si>
  <si>
    <t>319</t>
  </si>
  <si>
    <t>TRA</t>
  </si>
  <si>
    <t>ICN</t>
  </si>
  <si>
    <t>P6</t>
  </si>
  <si>
    <t>P4</t>
  </si>
  <si>
    <t>AY9301</t>
  </si>
  <si>
    <t>In-Flight/Date</t>
  </si>
  <si>
    <t>ULD-ID</t>
  </si>
  <si>
    <t>SHC</t>
  </si>
  <si>
    <t>Status</t>
  </si>
  <si>
    <t>Origin</t>
  </si>
  <si>
    <t xml:space="preserve"> </t>
  </si>
  <si>
    <t xml:space="preserve">HEA </t>
  </si>
  <si>
    <t>PMC  90301AY</t>
  </si>
  <si>
    <t>333</t>
  </si>
  <si>
    <t>HKG</t>
  </si>
  <si>
    <t>BLL</t>
  </si>
  <si>
    <t>AY9069</t>
  </si>
  <si>
    <t>PVG</t>
  </si>
  <si>
    <t>AY0087</t>
  </si>
  <si>
    <t xml:space="preserve">HEA SPX </t>
  </si>
  <si>
    <t xml:space="preserve">SPX ECC </t>
  </si>
  <si>
    <t>PAJ  78002AY</t>
  </si>
  <si>
    <t>PMC  88417AY</t>
  </si>
  <si>
    <t xml:space="preserve">HEA NSC EAP </t>
  </si>
  <si>
    <t xml:space="preserve">ELI SPX ECC </t>
  </si>
  <si>
    <t xml:space="preserve">ELI SPX ECC EAP </t>
  </si>
  <si>
    <t xml:space="preserve">HEA EAW </t>
  </si>
  <si>
    <t>PMC  90096AY</t>
  </si>
  <si>
    <t>PMC  90397AY</t>
  </si>
  <si>
    <t>AY9095</t>
  </si>
  <si>
    <t>25:30</t>
  </si>
  <si>
    <t>AY0101</t>
  </si>
  <si>
    <t>NGO</t>
  </si>
  <si>
    <t>AY1338</t>
  </si>
  <si>
    <t>P1</t>
  </si>
  <si>
    <t>AY0042</t>
  </si>
  <si>
    <t>AY0142</t>
  </si>
  <si>
    <t>25:60</t>
  </si>
  <si>
    <t>CDG</t>
  </si>
  <si>
    <t>DUS</t>
  </si>
  <si>
    <t>min cnx time</t>
  </si>
  <si>
    <t>26h</t>
  </si>
  <si>
    <t>6h</t>
  </si>
  <si>
    <t>1h</t>
  </si>
  <si>
    <t>25h</t>
  </si>
  <si>
    <t>28h</t>
  </si>
  <si>
    <t>AY0072</t>
  </si>
  <si>
    <t>AY0088</t>
  </si>
  <si>
    <t>321</t>
  </si>
  <si>
    <t>1:50</t>
  </si>
  <si>
    <t>27h</t>
  </si>
  <si>
    <t>KIX</t>
  </si>
  <si>
    <t>AY0077</t>
  </si>
  <si>
    <t>26:25</t>
  </si>
  <si>
    <t>27:55</t>
  </si>
  <si>
    <t>25:55</t>
  </si>
  <si>
    <t>ZRH</t>
  </si>
  <si>
    <t>27:25</t>
  </si>
  <si>
    <t>28:25</t>
  </si>
  <si>
    <t>AY0078</t>
  </si>
  <si>
    <t>16:55</t>
  </si>
  <si>
    <t>AY0867</t>
  </si>
  <si>
    <t>AY1306</t>
  </si>
  <si>
    <t>AY  0088  14MAR21</t>
  </si>
  <si>
    <t>PAG  07513AY</t>
  </si>
  <si>
    <t>AY  0072  14MAR21</t>
  </si>
  <si>
    <t>PAG  77697AY</t>
  </si>
  <si>
    <t xml:space="preserve">DDX SPX </t>
  </si>
  <si>
    <t>AY  0102  14MAR21</t>
  </si>
  <si>
    <t>PAG  78125AY</t>
  </si>
  <si>
    <t>AY  0142  14MAR21</t>
  </si>
  <si>
    <t>PAG  78140AY</t>
  </si>
  <si>
    <t>AY  0080  14MAR21</t>
  </si>
  <si>
    <t>PAJ  77906AY</t>
  </si>
  <si>
    <t>AY  0074  14MAR21</t>
  </si>
  <si>
    <t>PAJ  77936AY</t>
  </si>
  <si>
    <t xml:space="preserve">RFL COL ICE </t>
  </si>
  <si>
    <t>AY  0042  14MAR21</t>
  </si>
  <si>
    <t>PAJ  78008AY</t>
  </si>
  <si>
    <t xml:space="preserve">NSC ECC EAP </t>
  </si>
  <si>
    <t>PLA  10003AY</t>
  </si>
  <si>
    <t>PLA  10112AY</t>
  </si>
  <si>
    <t xml:space="preserve">SPX EAP ECC ELI XPS COL </t>
  </si>
  <si>
    <t>PLA  10124AY</t>
  </si>
  <si>
    <t>PMC  88023AY</t>
  </si>
  <si>
    <t>PMC  88040AY</t>
  </si>
  <si>
    <t xml:space="preserve">HEA ECC EAP </t>
  </si>
  <si>
    <t>PMC  88044AY</t>
  </si>
  <si>
    <t xml:space="preserve">SPX </t>
  </si>
  <si>
    <t>AY  0078  14MAR21</t>
  </si>
  <si>
    <t>PMC  88068AY</t>
  </si>
  <si>
    <t xml:space="preserve">BUP DDX </t>
  </si>
  <si>
    <t>PMC  88515AY</t>
  </si>
  <si>
    <t>PMC  88545AY</t>
  </si>
  <si>
    <t>PMC  88648AY</t>
  </si>
  <si>
    <t>PMC  88750AY</t>
  </si>
  <si>
    <t>PMC  88786AY</t>
  </si>
  <si>
    <t>PMC  89337AY</t>
  </si>
  <si>
    <t xml:space="preserve">EAP ECC HEA SPX ELI </t>
  </si>
  <si>
    <t>PMC  89366AY</t>
  </si>
  <si>
    <t>PMC  89435AY</t>
  </si>
  <si>
    <t>PMC  89484AY</t>
  </si>
  <si>
    <t>PMC  89490AY</t>
  </si>
  <si>
    <t xml:space="preserve">HEA NSC </t>
  </si>
  <si>
    <t>PMC  89502AY</t>
  </si>
  <si>
    <t>PMC  89538AY</t>
  </si>
  <si>
    <t>PMC  89577AY</t>
  </si>
  <si>
    <t>PMC  89626AY</t>
  </si>
  <si>
    <t>PMC  89743AY</t>
  </si>
  <si>
    <t xml:space="preserve">SPX ECC ECP ELI SBU </t>
  </si>
  <si>
    <t>PMC  89775AY</t>
  </si>
  <si>
    <t>PMC  89806AY</t>
  </si>
  <si>
    <t>PMC  89822AY</t>
  </si>
  <si>
    <t>PMC  89825AY</t>
  </si>
  <si>
    <t>PMC  89831AY</t>
  </si>
  <si>
    <t>PMC  89843AY</t>
  </si>
  <si>
    <t>PMC  89872AY</t>
  </si>
  <si>
    <t>PMC  89880AY</t>
  </si>
  <si>
    <t xml:space="preserve">ELM SPX ECC </t>
  </si>
  <si>
    <t>PMC  89896AY</t>
  </si>
  <si>
    <t xml:space="preserve">SPX ECP HEA ECC MAL </t>
  </si>
  <si>
    <t>PMC  89908AY</t>
  </si>
  <si>
    <t>PMC  89917AY</t>
  </si>
  <si>
    <t>PMC  90021AY</t>
  </si>
  <si>
    <t>PMC  90084AY</t>
  </si>
  <si>
    <t xml:space="preserve">ELI </t>
  </si>
  <si>
    <t>PMC  90090AY</t>
  </si>
  <si>
    <t>PMC  90100AY</t>
  </si>
  <si>
    <t>PMC  90103AY</t>
  </si>
  <si>
    <t>PMC  90112AY</t>
  </si>
  <si>
    <t xml:space="preserve">HEA EAP ECC </t>
  </si>
  <si>
    <t>PMC  90138AY</t>
  </si>
  <si>
    <t>PMC  90167AY</t>
  </si>
  <si>
    <t>PMC  90199AY</t>
  </si>
  <si>
    <t>PMC  90203AY</t>
  </si>
  <si>
    <t>PMC  90211AY</t>
  </si>
  <si>
    <t>PMC  90225AY</t>
  </si>
  <si>
    <t xml:space="preserve">ELI SPX </t>
  </si>
  <si>
    <t>PMC  90233AY</t>
  </si>
  <si>
    <t>PMC  90250AY</t>
  </si>
  <si>
    <t>PMC  90253AY</t>
  </si>
  <si>
    <t>PMC  90283AY</t>
  </si>
  <si>
    <t>PMC  90298AY</t>
  </si>
  <si>
    <t>PMC  90350AY</t>
  </si>
  <si>
    <t xml:space="preserve">DDX SPX RFL </t>
  </si>
  <si>
    <t>PMC  90365AY</t>
  </si>
  <si>
    <t>PMC  90387AY</t>
  </si>
  <si>
    <t>PMC  90389AY</t>
  </si>
  <si>
    <t xml:space="preserve">XPS DGR </t>
  </si>
  <si>
    <t>PMC  90394AY</t>
  </si>
  <si>
    <t>PMC  90402AY</t>
  </si>
  <si>
    <t>PMC  90403AY</t>
  </si>
  <si>
    <t>PMC  90407AY</t>
  </si>
  <si>
    <t>PMC  90415AY</t>
  </si>
  <si>
    <t>PMC  90441AY</t>
  </si>
  <si>
    <t>PMC  90455AY</t>
  </si>
  <si>
    <t>PMC  90465AY</t>
  </si>
  <si>
    <t>PMC  90468AY</t>
  </si>
  <si>
    <t>PMC  90513AY</t>
  </si>
  <si>
    <t>PMC  90514AY</t>
  </si>
  <si>
    <t>PMC  90517AY</t>
  </si>
  <si>
    <t>PMC  90555AY</t>
  </si>
  <si>
    <t>PMC  90570AY</t>
  </si>
  <si>
    <t>PMC  90585AY</t>
  </si>
  <si>
    <t>PMC  90598AY</t>
  </si>
  <si>
    <t>PMC  90618AY</t>
  </si>
  <si>
    <t xml:space="preserve">DDX BUP </t>
  </si>
  <si>
    <t>PMC  90628AY</t>
  </si>
  <si>
    <t>PMC  90637AY</t>
  </si>
  <si>
    <t>PMC  90644AY</t>
  </si>
  <si>
    <t>PMC  90647AY</t>
  </si>
  <si>
    <t>PMC  90664AY</t>
  </si>
  <si>
    <t>PMC  90666AY</t>
  </si>
  <si>
    <t>PMC  90667AY</t>
  </si>
  <si>
    <t>PMC90350AY</t>
  </si>
  <si>
    <t>PMC90298AY</t>
  </si>
  <si>
    <t>PMC90389AY</t>
  </si>
  <si>
    <t>PMC90394AY</t>
  </si>
  <si>
    <t>PAG78140AY</t>
  </si>
  <si>
    <t>PMC90250AY</t>
  </si>
  <si>
    <t>PMC90513AY</t>
  </si>
  <si>
    <t>PMC90667AY</t>
  </si>
  <si>
    <t>PMC90090AY</t>
  </si>
  <si>
    <t>PMC88417AY</t>
  </si>
  <si>
    <t>PMC89917AY</t>
  </si>
  <si>
    <t>24:50</t>
  </si>
  <si>
    <t>AY9094H</t>
  </si>
  <si>
    <t>9094H2139160321</t>
  </si>
  <si>
    <t>7:30</t>
  </si>
  <si>
    <t>ALF</t>
  </si>
  <si>
    <t>AY0041</t>
  </si>
  <si>
    <t>AY9096B</t>
  </si>
  <si>
    <t>170320219096</t>
  </si>
  <si>
    <t>54:10</t>
  </si>
  <si>
    <t>9096170321918</t>
  </si>
  <si>
    <t>127:05</t>
  </si>
  <si>
    <t>PAG77868AY</t>
  </si>
  <si>
    <t>26:15</t>
  </si>
  <si>
    <t>AY1405</t>
  </si>
  <si>
    <t>PLA10094AY</t>
  </si>
  <si>
    <t>PMC88042AY</t>
  </si>
  <si>
    <t>PMC88075AY</t>
  </si>
  <si>
    <t>PMC89365AY</t>
  </si>
  <si>
    <t>PMC89430AY</t>
  </si>
  <si>
    <t>26:55</t>
  </si>
  <si>
    <t>P2</t>
  </si>
  <si>
    <t>AY0015</t>
  </si>
  <si>
    <t>PMC90108AY</t>
  </si>
  <si>
    <t>AY1425</t>
  </si>
  <si>
    <t>PMC90449AY</t>
  </si>
  <si>
    <t>PMC90533AY</t>
  </si>
  <si>
    <t>PMC90624AY</t>
  </si>
  <si>
    <t>AY1337</t>
  </si>
  <si>
    <t>PAG77757AY</t>
  </si>
  <si>
    <t>AY9315Y</t>
  </si>
  <si>
    <t>PLA10126AY</t>
  </si>
  <si>
    <t>18:05</t>
  </si>
  <si>
    <t>AY0863</t>
  </si>
  <si>
    <t>PMC89346AY</t>
  </si>
  <si>
    <t>PMC89404AY</t>
  </si>
  <si>
    <t>PMC89708AY</t>
  </si>
  <si>
    <t>PMC90118AY</t>
  </si>
  <si>
    <t>PMC90136AY</t>
  </si>
  <si>
    <t>PMC90485AY</t>
  </si>
  <si>
    <t>PMC90510AY</t>
  </si>
  <si>
    <t>PMC90654AY</t>
  </si>
  <si>
    <t>0088170321854</t>
  </si>
  <si>
    <t>1703202188</t>
  </si>
  <si>
    <t>PAG77869AY</t>
  </si>
  <si>
    <t>PAG78085AY</t>
  </si>
  <si>
    <t>PMC88027AY</t>
  </si>
  <si>
    <t>20:25</t>
  </si>
  <si>
    <t>PMC89182AY</t>
  </si>
  <si>
    <t>PMC89545AY</t>
  </si>
  <si>
    <t>PMC89646AY</t>
  </si>
  <si>
    <t>PMC89734AY</t>
  </si>
  <si>
    <t>PMC89966AY</t>
  </si>
  <si>
    <t>PMC90304AY</t>
  </si>
  <si>
    <t>PMC90425AY</t>
  </si>
  <si>
    <t>PMC90649AY</t>
  </si>
  <si>
    <t>PMC89529AY</t>
  </si>
  <si>
    <t>2:20</t>
  </si>
  <si>
    <t>AY8875</t>
  </si>
  <si>
    <t>PMC89576AY</t>
  </si>
  <si>
    <t>PMC89863AY</t>
  </si>
  <si>
    <t>PMC89986AY</t>
  </si>
  <si>
    <t>PMC90173AY</t>
  </si>
  <si>
    <t>PMC90218AY</t>
  </si>
  <si>
    <t>PMC90255AY</t>
  </si>
  <si>
    <t>PMC90294AY</t>
  </si>
  <si>
    <t>PMC90351AY</t>
  </si>
  <si>
    <t>PMC90607AY</t>
  </si>
  <si>
    <t>PMC90642AY</t>
  </si>
  <si>
    <t>AY1512</t>
  </si>
  <si>
    <t>9:10</t>
  </si>
  <si>
    <t>AY1035</t>
  </si>
  <si>
    <t>PLA10140AY</t>
  </si>
  <si>
    <t>50:00</t>
  </si>
  <si>
    <t>AY1415</t>
  </si>
  <si>
    <t>16:50</t>
  </si>
  <si>
    <t>AY0808</t>
  </si>
  <si>
    <t>25:25</t>
  </si>
  <si>
    <t>AY1332</t>
  </si>
  <si>
    <t>13321703211231</t>
  </si>
  <si>
    <t>AY0915</t>
  </si>
  <si>
    <t>AY0438</t>
  </si>
  <si>
    <t>16:35</t>
  </si>
  <si>
    <t>OUL</t>
  </si>
  <si>
    <t>AY1511</t>
  </si>
  <si>
    <t>AY1762</t>
  </si>
  <si>
    <t>176217032021</t>
  </si>
  <si>
    <t>FCO</t>
  </si>
  <si>
    <t>AY0073</t>
  </si>
  <si>
    <t>AY0956</t>
  </si>
  <si>
    <t>45:25</t>
  </si>
  <si>
    <t>AY9282</t>
  </si>
  <si>
    <t>18:40</t>
  </si>
  <si>
    <t>AY9288</t>
  </si>
  <si>
    <t>928816032021</t>
  </si>
  <si>
    <t>43:00</t>
  </si>
  <si>
    <t>AY9294</t>
  </si>
  <si>
    <t>92941603211621</t>
  </si>
  <si>
    <t>115:35</t>
  </si>
  <si>
    <t>17:05</t>
  </si>
  <si>
    <t>AY1578</t>
  </si>
  <si>
    <t>19:20</t>
  </si>
  <si>
    <t>18h</t>
  </si>
  <si>
    <t>20h</t>
  </si>
  <si>
    <t>2h</t>
  </si>
  <si>
    <t>16h</t>
  </si>
  <si>
    <t>50h</t>
  </si>
  <si>
    <t>PURKUUN 2598 kollia 33 yksikköä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</si>
</sst>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400]h:mm:ss\ AM/PM"/>
    <numFmt numFmtId="165" formatCode="d\.hh:mm:ss"/>
    <numFmt numFmtId="166" formatCode="h:mm;@"/>
    <numFmt numFmtId="167" formatCode="[hh]&quot;h&quot;\ mm&quot;min&quot;"/>
  </numFmts>
  <fonts count="4" x14ac:knownFonts="1">
    <font>
      <sz val="11"/>
      <color theme="1"/>
      <name val="Calibri"/>
      <family val="2"/>
      <scheme val="minor"/>
    </font>
    <font>
      <sz val="14"/>
      <color theme="1"/>
      <name val="Calibri"/>
      <family val="2"/>
      <scheme val="minor"/>
    </font>
    <font>
      <sz val="11"/>
      <color rgb="FF000000"/>
      <name val="Calibri"/>
      <family val="2"/>
    </font>
    <font>
      <sz val="7"/>
      <color theme="1"/>
      <name val="Calibri"/>
      <family val="2"/>
      <scheme val="minor"/>
    </font>
  </fonts>
  <fills count="3">
    <fill>
      <patternFill patternType="none"/>
    </fill>
    <fill>
      <patternFill patternType="gray125"/>
    </fill>
    <fill>
      <patternFill patternType="solid">
        <fgColor rgb="FFFFFF00"/>
        <bgColor indexed="64"/>
      </patternFill>
    </fill>
  </fills>
  <borders count="14">
    <border>
      <left/>
      <right/>
      <top/>
      <bottom/>
      <diagonal/>
    </border>
    <border>
      <left style="medium">
        <color indexed="64"/>
      </left>
      <right style="medium">
        <color indexed="64"/>
      </right>
      <top style="medium">
        <color indexed="64"/>
      </top>
      <bottom/>
      <diagonal/>
    </border>
    <border>
      <left/>
      <right/>
      <top style="thick">
        <color auto="1"/>
      </top>
      <bottom style="medium">
        <color auto="1"/>
      </bottom>
      <diagonal/>
    </border>
    <border>
      <left style="thick">
        <color auto="1"/>
      </left>
      <right style="medium">
        <color auto="1"/>
      </right>
      <top style="thick">
        <color auto="1"/>
      </top>
      <bottom style="medium">
        <color auto="1"/>
      </bottom>
      <diagonal/>
    </border>
    <border>
      <left style="thick">
        <color auto="1"/>
      </left>
      <right style="medium">
        <color auto="1"/>
      </right>
      <top style="medium">
        <color auto="1"/>
      </top>
      <bottom style="thin">
        <color auto="1"/>
      </bottom>
      <diagonal/>
    </border>
    <border>
      <left/>
      <right/>
      <top style="medium">
        <color auto="1"/>
      </top>
      <bottom style="thin">
        <color auto="1"/>
      </bottom>
      <diagonal/>
    </border>
    <border>
      <left style="thick">
        <color auto="1"/>
      </left>
      <right style="medium">
        <color auto="1"/>
      </right>
      <top style="thin">
        <color auto="1"/>
      </top>
      <bottom style="thin">
        <color auto="1"/>
      </bottom>
      <diagonal/>
    </border>
    <border>
      <left/>
      <right/>
      <top style="thin">
        <color auto="1"/>
      </top>
      <bottom style="thin">
        <color auto="1"/>
      </bottom>
      <diagonal/>
    </border>
    <border>
      <left style="thick">
        <color auto="1"/>
      </left>
      <right style="medium">
        <color auto="1"/>
      </right>
      <top style="thin">
        <color auto="1"/>
      </top>
      <bottom style="thick">
        <color auto="1"/>
      </bottom>
      <diagonal/>
    </border>
    <border>
      <left/>
      <right/>
      <top style="thin">
        <color auto="1"/>
      </top>
      <bottom style="thick">
        <color auto="1"/>
      </bottom>
      <diagonal/>
    </border>
    <border>
      <left style="thin">
        <color auto="1"/>
      </left>
      <right style="thick">
        <color auto="1"/>
      </right>
      <top style="thin">
        <color auto="1"/>
      </top>
      <bottom style="thin">
        <color auto="1"/>
      </bottom>
      <diagonal/>
    </border>
    <border>
      <left style="thin">
        <color auto="1"/>
      </left>
      <right style="thick">
        <color auto="1"/>
      </right>
      <top style="thin">
        <color auto="1"/>
      </top>
      <bottom style="thick">
        <color auto="1"/>
      </bottom>
      <diagonal/>
    </border>
    <border>
      <left style="thin">
        <color auto="1"/>
      </left>
      <right style="thick">
        <color auto="1"/>
      </right>
      <top/>
      <bottom style="thin">
        <color auto="1"/>
      </bottom>
      <diagonal/>
    </border>
    <border>
      <left style="thin">
        <color auto="1"/>
      </left>
      <right style="thick">
        <color auto="1"/>
      </right>
      <top style="thick">
        <color auto="1"/>
      </top>
      <bottom style="medium">
        <color auto="1"/>
      </bottom>
      <diagonal/>
    </border>
  </borders>
  <cellStyleXfs count="1">
    <xf numFmtId="0" fontId="0" fillId="0" borderId="0"/>
  </cellStyleXfs>
  <cellXfs count="41">
    <xf numFmtId="0" fontId="0" fillId="0" borderId="0" xfId="0"/>
    <xf numFmtId="22" fontId="0" fillId="0" borderId="0" xfId="0" applyNumberFormat="1"/>
    <xf numFmtId="0" fontId="0" fillId="0" borderId="0" xfId="0" applyNumberFormat="1"/>
    <xf numFmtId="164" fontId="0" fillId="0" borderId="0" xfId="0" applyNumberFormat="1"/>
    <xf numFmtId="165" fontId="0" fillId="0" borderId="0" xfId="0" applyNumberFormat="1"/>
    <xf numFmtId="166" fontId="0" fillId="0" borderId="1" xfId="0" applyNumberFormat="1" applyBorder="1" applyAlignment="1">
      <alignment horizontal="center"/>
    </xf>
    <xf numFmtId="0" fontId="0" fillId="0" borderId="1" xfId="0" applyBorder="1" applyAlignment="1">
      <alignment horizontal="center"/>
    </xf>
    <xf numFmtId="49" fontId="0" fillId="0" borderId="1" xfId="0" applyNumberFormat="1" applyBorder="1" applyAlignment="1">
      <alignment horizontal="center" wrapText="1"/>
    </xf>
    <xf numFmtId="1" fontId="0" fillId="0" borderId="1" xfId="0" applyNumberFormat="1" applyBorder="1" applyAlignment="1">
      <alignment horizontal="center"/>
    </xf>
    <xf numFmtId="2" fontId="0" fillId="0" borderId="1" xfId="0" applyNumberFormat="1" applyBorder="1" applyAlignment="1">
      <alignment horizontal="center"/>
    </xf>
    <xf numFmtId="0" fontId="0" fillId="0" borderId="0" xfId="0" applyAlignment="1">
      <alignment horizontal="center"/>
    </xf>
    <xf numFmtId="0" fontId="0" fillId="0" borderId="0" xfId="0" pivotButton="1" applyAlignment="1">
      <alignment horizontal="center"/>
    </xf>
    <xf numFmtId="166" fontId="0" fillId="0" borderId="0" xfId="0" applyNumberFormat="1" applyAlignment="1">
      <alignment horizontal="center"/>
    </xf>
    <xf numFmtId="0" fontId="0" fillId="0" borderId="0" xfId="0" applyNumberFormat="1" applyAlignment="1">
      <alignment horizontal="center"/>
    </xf>
    <xf numFmtId="166" fontId="1" fillId="0" borderId="0" xfId="0" applyNumberFormat="1" applyFont="1" applyAlignment="1">
      <alignment horizontal="center"/>
    </xf>
    <xf numFmtId="0" fontId="1" fillId="0" borderId="0" xfId="0" applyFont="1" applyAlignment="1">
      <alignment horizontal="center"/>
    </xf>
    <xf numFmtId="0" fontId="1" fillId="0" borderId="0" xfId="0" applyFont="1"/>
    <xf numFmtId="0" fontId="1" fillId="0" borderId="2" xfId="0" applyFont="1" applyBorder="1" applyAlignment="1">
      <alignment horizontal="center"/>
    </xf>
    <xf numFmtId="166" fontId="1" fillId="0" borderId="3" xfId="0" applyNumberFormat="1" applyFont="1" applyBorder="1" applyAlignment="1">
      <alignment horizontal="center"/>
    </xf>
    <xf numFmtId="0" fontId="1" fillId="0" borderId="5" xfId="0" applyFont="1" applyBorder="1" applyAlignment="1">
      <alignment horizontal="center"/>
    </xf>
    <xf numFmtId="0" fontId="1" fillId="0" borderId="7" xfId="0" applyFont="1" applyBorder="1" applyAlignment="1">
      <alignment horizontal="center"/>
    </xf>
    <xf numFmtId="0" fontId="1" fillId="0" borderId="9" xfId="0" applyFont="1" applyBorder="1" applyAlignment="1">
      <alignment horizontal="center"/>
    </xf>
    <xf numFmtId="22" fontId="0" fillId="0" borderId="0" xfId="0" applyNumberFormat="1" applyAlignment="1">
      <alignment horizontal="center"/>
    </xf>
    <xf numFmtId="2" fontId="0" fillId="0" borderId="0" xfId="0" applyNumberFormat="1" applyAlignment="1">
      <alignment horizontal="center"/>
    </xf>
    <xf numFmtId="167" fontId="0" fillId="0" borderId="0" xfId="0" applyNumberFormat="1" applyAlignment="1">
      <alignment horizontal="center"/>
    </xf>
    <xf numFmtId="1" fontId="0" fillId="0" borderId="0" xfId="0" applyNumberFormat="1" applyAlignment="1">
      <alignment horizontal="center"/>
    </xf>
    <xf numFmtId="166" fontId="0" fillId="0" borderId="0" xfId="0" applyNumberFormat="1"/>
    <xf numFmtId="3" fontId="0" fillId="0" borderId="0" xfId="0" applyNumberFormat="1" applyAlignment="1">
      <alignment horizontal="center"/>
    </xf>
    <xf numFmtId="22" fontId="0" fillId="0" borderId="0" xfId="0" applyNumberFormat="1"/>
    <xf numFmtId="49" fontId="0" fillId="0" borderId="0" xfId="0" applyNumberFormat="1" applyAlignment="1">
      <alignment horizontal="center"/>
    </xf>
    <xf numFmtId="0" fontId="1" fillId="0" borderId="4" xfId="0" applyNumberFormat="1" applyFont="1" applyBorder="1" applyAlignment="1">
      <alignment horizontal="center"/>
    </xf>
    <xf numFmtId="0" fontId="1" fillId="0" borderId="6" xfId="0" applyNumberFormat="1" applyFont="1" applyBorder="1" applyAlignment="1">
      <alignment horizontal="center"/>
    </xf>
    <xf numFmtId="0" fontId="1" fillId="0" borderId="8" xfId="0" applyNumberFormat="1" applyFont="1" applyBorder="1" applyAlignment="1">
      <alignment horizontal="center"/>
    </xf>
    <xf numFmtId="22" fontId="0" fillId="0" borderId="0" xfId="0" applyNumberFormat="1"/>
    <xf numFmtId="0" fontId="1" fillId="0" borderId="10" xfId="0" applyNumberFormat="1" applyFont="1" applyBorder="1" applyAlignment="1">
      <alignment horizontal="center"/>
    </xf>
    <xf numFmtId="0" fontId="1" fillId="0" borderId="11" xfId="0" applyNumberFormat="1" applyFont="1" applyBorder="1" applyAlignment="1">
      <alignment horizontal="center"/>
    </xf>
    <xf numFmtId="0" fontId="1" fillId="0" borderId="12" xfId="0" applyNumberFormat="1" applyFont="1" applyBorder="1" applyAlignment="1">
      <alignment horizontal="center"/>
    </xf>
    <xf numFmtId="0" fontId="3" fillId="0" borderId="13" xfId="0" applyFont="1" applyBorder="1" applyAlignment="1">
      <alignment horizontal="center" vertical="center" wrapText="1"/>
    </xf>
    <xf numFmtId="22" fontId="0" fillId="0" borderId="0" xfId="0" applyNumberFormat="1"/>
    <xf numFmtId="14" fontId="0" fillId="0" borderId="0" xfId="0" applyNumberFormat="1"/>
    <xf numFmtId="166" fontId="1" fillId="2" borderId="0" xfId="0" applyNumberFormat="1" applyFont="1" applyFill="1" applyAlignment="1">
      <alignment horizontal="center"/>
    </xf>
  </cellXfs>
  <cellStyles count="1">
    <cellStyle name="Normal" xfId="0" builtinId="0"/>
  </cellStyles>
  <dxfs count="36">
    <dxf>
      <numFmt numFmtId="165" formatCode="d\.hh:mm:ss"/>
    </dxf>
    <dxf>
      <numFmt numFmtId="0" formatCode="General"/>
    </dxf>
    <dxf>
      <numFmt numFmtId="27" formatCode="d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19" formatCode="dd/mm/yyyy"/>
    </dxf>
    <dxf>
      <numFmt numFmtId="27" formatCode="dd/mm/yyyy\ h:mm"/>
    </dxf>
    <dxf>
      <numFmt numFmtId="0" formatCode="General"/>
    </dxf>
    <dxf>
      <numFmt numFmtId="0" formatCode="General"/>
    </dxf>
    <dxf>
      <numFmt numFmtId="0" formatCode="General"/>
    </dxf>
    <dxf>
      <numFmt numFmtId="0" formatCode="General"/>
    </dxf>
    <dxf>
      <numFmt numFmtId="0" formatCode="General"/>
    </dxf>
    <dxf>
      <numFmt numFmtId="3" formatCode="#,##0"/>
    </dxf>
    <dxf>
      <numFmt numFmtId="1" formatCode="0"/>
    </dxf>
    <dxf>
      <alignment horizontal="center"/>
    </dxf>
    <dxf>
      <alignment horizontal="center"/>
    </dxf>
    <dxf>
      <alignment horizontal="center"/>
    </dxf>
    <dxf>
      <alignment horizontal="center"/>
    </dxf>
    <dxf>
      <alignment horizontal="center"/>
    </dxf>
    <dxf>
      <alignment horizontal="center"/>
    </dxf>
    <dxf>
      <alignment horizontal="center" indent="0"/>
    </dxf>
    <dxf>
      <alignment horizontal="center" indent="0"/>
    </dxf>
    <dxf>
      <alignment horizontal="center" indent="0"/>
    </dxf>
    <dxf>
      <alignment horizontal="center" indent="0"/>
    </dxf>
    <dxf>
      <alignment horizontal="center" inden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onnections" Target="connections.xml"/><Relationship Id="rId18" Type="http://schemas.openxmlformats.org/officeDocument/2006/relationships/customXml" Target="../customXml/item1.xml"/><Relationship Id="rId26" Type="http://schemas.openxmlformats.org/officeDocument/2006/relationships/customXml" Target="../customXml/item9.xml"/><Relationship Id="rId39" Type="http://schemas.microsoft.com/office/2006/relationships/vbaProject" Target="vbaProject.bin"/><Relationship Id="rId21" Type="http://schemas.openxmlformats.org/officeDocument/2006/relationships/customXml" Target="../customXml/item4.xml"/><Relationship Id="rId34" Type="http://schemas.openxmlformats.org/officeDocument/2006/relationships/customXml" Target="../customXml/item17.xml"/><Relationship Id="rId7" Type="http://schemas.openxmlformats.org/officeDocument/2006/relationships/pivotCacheDefinition" Target="pivotCache/pivotCacheDefinition2.xml"/><Relationship Id="rId12" Type="http://schemas.openxmlformats.org/officeDocument/2006/relationships/theme" Target="theme/theme1.xml"/><Relationship Id="rId17" Type="http://schemas.openxmlformats.org/officeDocument/2006/relationships/powerPivotData" Target="model/item.data"/><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3.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microsoft.com/office/2007/relationships/slicerCache" Target="slicerCaches/slicerCache2.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8" Type="http://schemas.openxmlformats.org/officeDocument/2006/relationships/pivotCacheDefinition" Target="pivotCache/pivotCacheDefinition3.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3</xdr:col>
      <xdr:colOff>8466</xdr:colOff>
      <xdr:row>8</xdr:row>
      <xdr:rowOff>10584</xdr:rowOff>
    </xdr:from>
    <xdr:to>
      <xdr:col>5</xdr:col>
      <xdr:colOff>347136</xdr:colOff>
      <xdr:row>17</xdr:row>
      <xdr:rowOff>171450</xdr:rowOff>
    </xdr:to>
    <mc:AlternateContent xmlns:mc="http://schemas.openxmlformats.org/markup-compatibility/2006" xmlns:a14="http://schemas.microsoft.com/office/drawing/2010/main">
      <mc:Choice Requires="a14">
        <xdr:graphicFrame macro="">
          <xdr:nvGraphicFramePr>
            <xdr:cNvPr id="6" name="FLT NUM">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FLT NUM"/>
            </a:graphicData>
          </a:graphic>
        </xdr:graphicFrame>
      </mc:Choice>
      <mc:Fallback xmlns="">
        <xdr:sp macro="" textlink="">
          <xdr:nvSpPr>
            <xdr:cNvPr id="0" name=""/>
            <xdr:cNvSpPr>
              <a:spLocks noTextEdit="1"/>
            </xdr:cNvSpPr>
          </xdr:nvSpPr>
          <xdr:spPr>
            <a:xfrm>
              <a:off x="4444999" y="1500717"/>
              <a:ext cx="1803400" cy="1837266"/>
            </a:xfrm>
            <a:prstGeom prst="rect">
              <a:avLst/>
            </a:prstGeom>
            <a:solidFill>
              <a:prstClr val="white"/>
            </a:solidFill>
            <a:ln w="1">
              <a:solidFill>
                <a:prstClr val="green"/>
              </a:solidFill>
            </a:ln>
          </xdr:spPr>
          <xdr:txBody>
            <a:bodyPr vertOverflow="clip" horzOverflow="clip"/>
            <a:lstStyle/>
            <a:p>
              <a:r>
                <a:rPr lang="en-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427568</xdr:colOff>
      <xdr:row>0</xdr:row>
      <xdr:rowOff>93134</xdr:rowOff>
    </xdr:from>
    <xdr:to>
      <xdr:col>8</xdr:col>
      <xdr:colOff>1114779</xdr:colOff>
      <xdr:row>17</xdr:row>
      <xdr:rowOff>152401</xdr:rowOff>
    </xdr:to>
    <mc:AlternateContent xmlns:mc="http://schemas.openxmlformats.org/markup-compatibility/2006" xmlns:a14="http://schemas.microsoft.com/office/drawing/2010/main">
      <mc:Choice Requires="a14">
        <xdr:graphicFrame macro="">
          <xdr:nvGraphicFramePr>
            <xdr:cNvPr id="7" name="CNX FLT">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CNX FLT"/>
            </a:graphicData>
          </a:graphic>
        </xdr:graphicFrame>
      </mc:Choice>
      <mc:Fallback xmlns="">
        <xdr:sp macro="" textlink="">
          <xdr:nvSpPr>
            <xdr:cNvPr id="0" name=""/>
            <xdr:cNvSpPr>
              <a:spLocks noTextEdit="1"/>
            </xdr:cNvSpPr>
          </xdr:nvSpPr>
          <xdr:spPr>
            <a:xfrm>
              <a:off x="7912101" y="93134"/>
              <a:ext cx="2404533" cy="3225800"/>
            </a:xfrm>
            <a:prstGeom prst="rect">
              <a:avLst/>
            </a:prstGeom>
            <a:solidFill>
              <a:prstClr val="white"/>
            </a:solidFill>
            <a:ln w="1">
              <a:solidFill>
                <a:prstClr val="green"/>
              </a:solidFill>
            </a:ln>
          </xdr:spPr>
          <xdr:txBody>
            <a:bodyPr vertOverflow="clip" horzOverflow="clip"/>
            <a:lstStyle/>
            <a:p>
              <a:r>
                <a:rPr lang="en-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2116</xdr:colOff>
      <xdr:row>0</xdr:row>
      <xdr:rowOff>91018</xdr:rowOff>
    </xdr:from>
    <xdr:to>
      <xdr:col>5</xdr:col>
      <xdr:colOff>340786</xdr:colOff>
      <xdr:row>7</xdr:row>
      <xdr:rowOff>103718</xdr:rowOff>
    </xdr:to>
    <mc:AlternateContent xmlns:mc="http://schemas.openxmlformats.org/markup-compatibility/2006" xmlns:a14="http://schemas.microsoft.com/office/drawing/2010/main">
      <mc:Choice Requires="a14">
        <xdr:graphicFrame macro="">
          <xdr:nvGraphicFramePr>
            <xdr:cNvPr id="8" name="IMP FLT TYPE">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IMP FLT TYPE"/>
            </a:graphicData>
          </a:graphic>
        </xdr:graphicFrame>
      </mc:Choice>
      <mc:Fallback xmlns="">
        <xdr:sp macro="" textlink="">
          <xdr:nvSpPr>
            <xdr:cNvPr id="0" name=""/>
            <xdr:cNvSpPr>
              <a:spLocks noTextEdit="1"/>
            </xdr:cNvSpPr>
          </xdr:nvSpPr>
          <xdr:spPr>
            <a:xfrm>
              <a:off x="4438649" y="91018"/>
              <a:ext cx="1803400" cy="1316567"/>
            </a:xfrm>
            <a:prstGeom prst="rect">
              <a:avLst/>
            </a:prstGeom>
            <a:solidFill>
              <a:prstClr val="white"/>
            </a:solidFill>
            <a:ln w="1">
              <a:solidFill>
                <a:prstClr val="green"/>
              </a:solidFill>
            </a:ln>
          </xdr:spPr>
          <xdr:txBody>
            <a:bodyPr vertOverflow="clip" horzOverflow="clip"/>
            <a:lstStyle/>
            <a:p>
              <a:r>
                <a:rPr lang="en-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45720</xdr:colOff>
          <xdr:row>0</xdr:row>
          <xdr:rowOff>30480</xdr:rowOff>
        </xdr:from>
        <xdr:to>
          <xdr:col>12</xdr:col>
          <xdr:colOff>579120</xdr:colOff>
          <xdr:row>1</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FI" sz="1100" b="0" i="0" u="none" strike="noStrike" baseline="0">
                  <a:solidFill>
                    <a:srgbClr val="000000"/>
                  </a:solidFill>
                  <a:latin typeface="Calibri"/>
                  <a:cs typeface="Calibri"/>
                </a:rPr>
                <a:t>Start</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Harri" refreshedDate="44272.590489930553" createdVersion="5" refreshedVersion="6" minRefreshableVersion="3" recordCount="0" supportSubquery="1" supportAdvancedDrill="1" xr:uid="{B831A423-C52B-46CA-B5B8-E4B26E8397CF}">
  <cacheSource type="external" connectionId="3"/>
  <cacheFields count="8">
    <cacheField name="[data].[FLT NUM].[FLT NUM]" caption="FLT NUM" numFmtId="0" hierarchy="3" level="1">
      <sharedItems count="5">
        <s v="AY0042"/>
        <s v="AY0072"/>
        <s v="AY0078"/>
        <s v="AY0088"/>
        <s v="AY0142"/>
      </sharedItems>
      <extLst>
        <ext xmlns:x15="http://schemas.microsoft.com/office/spreadsheetml/2010/11/main" uri="{4F2E5C28-24EA-4eb8-9CBF-B6C8F9C3D259}">
          <x15:cachedUniqueNames>
            <x15:cachedUniqueName index="0" name="[data].[FLT NUM].&amp;[AY0042]"/>
            <x15:cachedUniqueName index="1" name="[data].[FLT NUM].&amp;[AY0072]"/>
            <x15:cachedUniqueName index="2" name="[data].[FLT NUM].&amp;[AY0078]"/>
            <x15:cachedUniqueName index="3" name="[data].[FLT NUM].&amp;[AY0088]"/>
            <x15:cachedUniqueName index="4" name="[data].[FLT NUM].&amp;[AY0142]"/>
          </x15:cachedUniqueNames>
        </ext>
      </extLst>
    </cacheField>
    <cacheField name="[data].[ULD ID].[ULD ID]" caption="ULD ID" numFmtId="0" hierarchy="4" level="1">
      <sharedItems count="56">
        <s v="PAG77868AY"/>
        <s v="PLA10094AY"/>
        <s v="PMC88042AY"/>
        <s v="PMC88075AY"/>
        <s v="PMC89365AY"/>
        <s v="PMC89430AY"/>
        <s v="PMC90108AY"/>
        <s v="PMC90449AY"/>
        <s v="PMC90533AY"/>
        <s v="PMC90624AY"/>
        <s v="PAG77757AY"/>
        <s v="PLA10126AY"/>
        <s v="PMC89346AY"/>
        <s v="PMC89404AY"/>
        <s v="PMC89708AY"/>
        <s v="PMC90118AY"/>
        <s v="PMC90136AY"/>
        <s v="PMC90485AY"/>
        <s v="PMC90510AY"/>
        <s v="PMC90654AY"/>
        <s v="PMC89529AY"/>
        <s v="PMC89576AY"/>
        <s v="PMC89863AY"/>
        <s v="PMC89986AY"/>
        <s v="PMC90173AY"/>
        <s v="PMC90218AY"/>
        <s v="PMC90255AY"/>
        <s v="PMC90294AY"/>
        <s v="PMC90351AY"/>
        <s v="PMC90607AY"/>
        <s v="PMC90642AY"/>
        <s v="0088170321854"/>
        <s v="1703202188"/>
        <s v="PAG77869AY"/>
        <s v="PAG78085AY"/>
        <s v="PMC88027AY"/>
        <s v="PMC89182AY"/>
        <s v="PMC89545AY"/>
        <s v="PMC89646AY"/>
        <s v="PMC89734AY"/>
        <s v="PMC89966AY"/>
        <s v="PMC90304AY"/>
        <s v="PMC90425AY"/>
        <s v="PMC90649AY"/>
        <s v="PAG78140AY"/>
        <s v="PLA10140AY"/>
        <s v="PMC88417AY"/>
        <s v="PMC89917AY"/>
        <s v="PMC90090AY"/>
        <s v="PMC90250AY"/>
        <s v="PMC90298AY"/>
        <s v="PMC90350AY"/>
        <s v="PMC90389AY"/>
        <s v="PMC90394AY"/>
        <s v="PMC90513AY"/>
        <s v="PMC90667AY"/>
      </sharedItems>
      <extLst>
        <ext xmlns:x15="http://schemas.microsoft.com/office/spreadsheetml/2010/11/main" uri="{4F2E5C28-24EA-4eb8-9CBF-B6C8F9C3D259}">
          <x15:cachedUniqueNames>
            <x15:cachedUniqueName index="0" name="[data].[ULD ID].&amp;[PAG77868AY]"/>
            <x15:cachedUniqueName index="1" name="[data].[ULD ID].&amp;[PLA10094AY]"/>
            <x15:cachedUniqueName index="2" name="[data].[ULD ID].&amp;[PMC88042AY]"/>
            <x15:cachedUniqueName index="3" name="[data].[ULD ID].&amp;[PMC88075AY]"/>
            <x15:cachedUniqueName index="4" name="[data].[ULD ID].&amp;[PMC89365AY]"/>
            <x15:cachedUniqueName index="5" name="[data].[ULD ID].&amp;[PMC89430AY]"/>
            <x15:cachedUniqueName index="6" name="[data].[ULD ID].&amp;[PMC90108AY]"/>
            <x15:cachedUniqueName index="7" name="[data].[ULD ID].&amp;[PMC90449AY]"/>
            <x15:cachedUniqueName index="8" name="[data].[ULD ID].&amp;[PMC90533AY]"/>
            <x15:cachedUniqueName index="9" name="[data].[ULD ID].&amp;[PMC90624AY]"/>
            <x15:cachedUniqueName index="10" name="[data].[ULD ID].&amp;[PAG77757AY]"/>
            <x15:cachedUniqueName index="11" name="[data].[ULD ID].&amp;[PLA10126AY]"/>
            <x15:cachedUniqueName index="12" name="[data].[ULD ID].&amp;[PMC89346AY]"/>
            <x15:cachedUniqueName index="13" name="[data].[ULD ID].&amp;[PMC89404AY]"/>
            <x15:cachedUniqueName index="14" name="[data].[ULD ID].&amp;[PMC89708AY]"/>
            <x15:cachedUniqueName index="15" name="[data].[ULD ID].&amp;[PMC90118AY]"/>
            <x15:cachedUniqueName index="16" name="[data].[ULD ID].&amp;[PMC90136AY]"/>
            <x15:cachedUniqueName index="17" name="[data].[ULD ID].&amp;[PMC90485AY]"/>
            <x15:cachedUniqueName index="18" name="[data].[ULD ID].&amp;[PMC90510AY]"/>
            <x15:cachedUniqueName index="19" name="[data].[ULD ID].&amp;[PMC90654AY]"/>
            <x15:cachedUniqueName index="20" name="[data].[ULD ID].&amp;[PMC89529AY]"/>
            <x15:cachedUniqueName index="21" name="[data].[ULD ID].&amp;[PMC89576AY]"/>
            <x15:cachedUniqueName index="22" name="[data].[ULD ID].&amp;[PMC89863AY]"/>
            <x15:cachedUniqueName index="23" name="[data].[ULD ID].&amp;[PMC89986AY]"/>
            <x15:cachedUniqueName index="24" name="[data].[ULD ID].&amp;[PMC90173AY]"/>
            <x15:cachedUniqueName index="25" name="[data].[ULD ID].&amp;[PMC90218AY]"/>
            <x15:cachedUniqueName index="26" name="[data].[ULD ID].&amp;[PMC90255AY]"/>
            <x15:cachedUniqueName index="27" name="[data].[ULD ID].&amp;[PMC90294AY]"/>
            <x15:cachedUniqueName index="28" name="[data].[ULD ID].&amp;[PMC90351AY]"/>
            <x15:cachedUniqueName index="29" name="[data].[ULD ID].&amp;[PMC90607AY]"/>
            <x15:cachedUniqueName index="30" name="[data].[ULD ID].&amp;[PMC90642AY]"/>
            <x15:cachedUniqueName index="31" name="[data].[ULD ID].&amp;[0088170321854]"/>
            <x15:cachedUniqueName index="32" name="[data].[ULD ID].&amp;[1703202188]"/>
            <x15:cachedUniqueName index="33" name="[data].[ULD ID].&amp;[PAG77869AY]"/>
            <x15:cachedUniqueName index="34" name="[data].[ULD ID].&amp;[PAG78085AY]"/>
            <x15:cachedUniqueName index="35" name="[data].[ULD ID].&amp;[PMC88027AY]"/>
            <x15:cachedUniqueName index="36" name="[data].[ULD ID].&amp;[PMC89182AY]"/>
            <x15:cachedUniqueName index="37" name="[data].[ULD ID].&amp;[PMC89545AY]"/>
            <x15:cachedUniqueName index="38" name="[data].[ULD ID].&amp;[PMC89646AY]"/>
            <x15:cachedUniqueName index="39" name="[data].[ULD ID].&amp;[PMC89734AY]"/>
            <x15:cachedUniqueName index="40" name="[data].[ULD ID].&amp;[PMC89966AY]"/>
            <x15:cachedUniqueName index="41" name="[data].[ULD ID].&amp;[PMC90304AY]"/>
            <x15:cachedUniqueName index="42" name="[data].[ULD ID].&amp;[PMC90425AY]"/>
            <x15:cachedUniqueName index="43" name="[data].[ULD ID].&amp;[PMC90649AY]"/>
            <x15:cachedUniqueName index="44" name="[data].[ULD ID].&amp;[PAG78140AY]"/>
            <x15:cachedUniqueName index="45" name="[data].[ULD ID].&amp;[PLA10140AY]"/>
            <x15:cachedUniqueName index="46" name="[data].[ULD ID].&amp;[PMC88417AY]"/>
            <x15:cachedUniqueName index="47" name="[data].[ULD ID].&amp;[PMC89917AY]"/>
            <x15:cachedUniqueName index="48" name="[data].[ULD ID].&amp;[PMC90090AY]"/>
            <x15:cachedUniqueName index="49" name="[data].[ULD ID].&amp;[PMC90250AY]"/>
            <x15:cachedUniqueName index="50" name="[data].[ULD ID].&amp;[PMC90298AY]"/>
            <x15:cachedUniqueName index="51" name="[data].[ULD ID].&amp;[PMC90350AY]"/>
            <x15:cachedUniqueName index="52" name="[data].[ULD ID].&amp;[PMC90389AY]"/>
            <x15:cachedUniqueName index="53" name="[data].[ULD ID].&amp;[PMC90394AY]"/>
            <x15:cachedUniqueName index="54" name="[data].[ULD ID].&amp;[PMC90513AY]"/>
            <x15:cachedUniqueName index="55" name="[data].[ULD ID].&amp;[PMC90667AY]"/>
          </x15:cachedUniqueNames>
        </ext>
      </extLst>
    </cacheField>
    <cacheField name="[data].[AWB NUM].[AWB NUM]" caption="AWB NUM" numFmtId="0" hierarchy="5" level="1">
      <sharedItems containsSemiMixedTypes="0" containsNonDate="0" containsString="0" containsNumber="1" containsInteger="1" minValue="10587669385" maxValue="10587669385" count="1">
        <n v="10587669385"/>
      </sharedItems>
      <extLst>
        <ext xmlns:x15="http://schemas.microsoft.com/office/spreadsheetml/2010/11/main" uri="{4F2E5C28-24EA-4eb8-9CBF-B6C8F9C3D259}">
          <x15:cachedUniqueNames>
            <x15:cachedUniqueName index="0" name="[data].[AWB NUM].&amp;[1.0587669385E10]"/>
          </x15:cachedUniqueNames>
        </ext>
      </extLst>
    </cacheField>
    <cacheField name="[Measures].[CNX_FLT_meas]" caption="CNX_FLT_meas" numFmtId="0" hierarchy="28" level="32767"/>
    <cacheField name="[data].[IMP AC TYPE].[IMP AC TYPE]" caption="IMP AC TYPE" numFmtId="0" hierarchy="8" level="1">
      <sharedItems containsSemiMixedTypes="0" containsNonDate="0" containsString="0"/>
    </cacheField>
    <cacheField name="[Measures].[Min of CNX_PRIO]" caption="Min of CNX_PRIO" numFmtId="0" hierarchy="41" level="32767"/>
    <cacheField name="[data].[IMP FLT TYPE].[IMP FLT TYPE]" caption="IMP FLT TYPE" numFmtId="0" hierarchy="27" level="1">
      <sharedItems containsSemiMixedTypes="0" containsNonDate="0" containsString="0"/>
    </cacheField>
    <cacheField name="[data].[CNX FLT].[CNX FLT]" caption="CNX FLT" numFmtId="0" hierarchy="19" level="1">
      <sharedItems containsSemiMixedTypes="0" containsNonDate="0" containsString="0"/>
    </cacheField>
  </cacheFields>
  <cacheHierarchies count="43">
    <cacheHierarchy uniqueName="[data].[SCH ARR TIME]" caption="SCH ARR TIME" attribute="1" time="1" defaultMemberUniqueName="[data].[SCH ARR TIME].[All]" allUniqueName="[data].[SCH ARR TIME].[All]" dimensionUniqueName="[data]" displayFolder="" count="0" memberValueDatatype="7" unbalanced="0"/>
    <cacheHierarchy uniqueName="[data].[SCH ARR  DATE]" caption="SCH ARR  DATE" attribute="1" time="1" defaultMemberUniqueName="[data].[SCH ARR  DATE].[All]" allUniqueName="[data].[SCH ARR  DATE].[All]" dimensionUniqueName="[data]" displayFolder="" count="0" memberValueDatatype="7" unbalanced="0"/>
    <cacheHierarchy uniqueName="[data].[SCH ARR TIME2]" caption="SCH ARR TIME2" attribute="1" time="1" defaultMemberUniqueName="[data].[SCH ARR TIME2].[All]" allUniqueName="[data].[SCH ARR TIME2].[All]" dimensionUniqueName="[data]" displayFolder="" count="0" memberValueDatatype="7" unbalanced="0"/>
    <cacheHierarchy uniqueName="[data].[FLT NUM]" caption="FLT NUM" attribute="1" defaultMemberUniqueName="[data].[FLT NUM].[All]" allUniqueName="[data].[FLT NUM].[All]" dimensionUniqueName="[data]" displayFolder="" count="2" memberValueDatatype="130" unbalanced="0">
      <fieldsUsage count="2">
        <fieldUsage x="-1"/>
        <fieldUsage x="0"/>
      </fieldsUsage>
    </cacheHierarchy>
    <cacheHierarchy uniqueName="[data].[ULD ID]" caption="ULD ID" attribute="1" defaultMemberUniqueName="[data].[ULD ID].[All]" allUniqueName="[data].[ULD ID].[All]" dimensionUniqueName="[data]" displayFolder="" count="2" memberValueDatatype="130" unbalanced="0">
      <fieldsUsage count="2">
        <fieldUsage x="-1"/>
        <fieldUsage x="1"/>
      </fieldsUsage>
    </cacheHierarchy>
    <cacheHierarchy uniqueName="[data].[AWB NUM]" caption="AWB NUM" attribute="1" defaultMemberUniqueName="[data].[AWB NUM].[All]" allUniqueName="[data].[AWB NUM].[All]" dimensionUniqueName="[data]" displayFolder="" count="2" memberValueDatatype="130" unbalanced="0">
      <fieldsUsage count="2">
        <fieldUsage x="-1"/>
        <fieldUsage x="2"/>
      </fieldsUsage>
    </cacheHierarchy>
    <cacheHierarchy uniqueName="[data].[Average of TIME_TO_ARR]" caption="Average of TIME_TO_ARR" attribute="1" defaultMemberUniqueName="[data].[Average of TIME_TO_ARR].[All]" allUniqueName="[data].[Average of TIME_TO_ARR].[All]" dimensionUniqueName="[data]" displayFolder="" count="0" memberValueDatatype="20" unbalanced="0"/>
    <cacheHierarchy uniqueName="[data].[Average of TIME_TO_RCF]" caption="Average of TIME_TO_RCF" attribute="1" defaultMemberUniqueName="[data].[Average of TIME_TO_RCF].[All]" allUniqueName="[data].[Average of TIME_TO_RCF].[All]" dimensionUniqueName="[data]" displayFolder="" count="0" memberValueDatatype="20" unbalanced="0"/>
    <cacheHierarchy uniqueName="[data].[IMP AC TYPE]" caption="IMP AC TYPE" attribute="1" defaultMemberUniqueName="[data].[IMP AC TYPE].[All]" allUniqueName="[data].[IMP AC TYPE].[All]" dimensionUniqueName="[data]" displayFolder="" count="2" memberValueDatatype="130" unbalanced="0">
      <fieldsUsage count="2">
        <fieldUsage x="-1"/>
        <fieldUsage x="4"/>
      </fieldsUsage>
    </cacheHierarchy>
    <cacheHierarchy uniqueName="[data].[CNX TIME (24H DAY)]" caption="CNX TIME (24H DAY)" attribute="1" defaultMemberUniqueName="[data].[CNX TIME (24H DAY)].[All]" allUniqueName="[data].[CNX TIME (24H DAY)].[All]" dimensionUniqueName="[data]" displayFolder="" count="0" memberValueDatatype="130" unbalanced="0"/>
    <cacheHierarchy uniqueName="[data].[CNX HH:MM]" caption="CNX HH:MM" attribute="1" defaultMemberUniqueName="[data].[CNX HH:MM].[All]" allUniqueName="[data].[CNX HH:MM].[All]" dimensionUniqueName="[data]" displayFolder="" count="0" memberValueDatatype="130" unbalanced="0"/>
    <cacheHierarchy uniqueName="[data].[ORIG]" caption="ORIG" attribute="1" defaultMemberUniqueName="[data].[ORIG].[All]" allUniqueName="[data].[ORIG].[All]" dimensionUniqueName="[data]" displayFolder="" count="0" memberValueDatatype="130" unbalanced="0"/>
    <cacheHierarchy uniqueName="[data].[DEST]" caption="DEST" attribute="1" defaultMemberUniqueName="[data].[DEST].[All]" allUniqueName="[data].[DEST].[All]" dimensionUniqueName="[data]" displayFolder="" count="0" memberValueDatatype="130" unbalanced="0"/>
    <cacheHierarchy uniqueName="[data].[IMP LEG STS]" caption="IMP LEG STS" attribute="1" defaultMemberUniqueName="[data].[IMP LEG STS].[All]" allUniqueName="[data].[IMP LEG STS].[All]" dimensionUniqueName="[data]" displayFolder="" count="0" memberValueDatatype="130" unbalanced="0"/>
    <cacheHierarchy uniqueName="[data].[BKD SHP WT]" caption="BKD SHP WT" attribute="1" defaultMemberUniqueName="[data].[BKD SHP WT].[All]" allUniqueName="[data].[BKD SHP WT].[All]" dimensionUniqueName="[data]" displayFolder="" count="0" memberValueDatatype="5" unbalanced="0"/>
    <cacheHierarchy uniqueName="[data].[BKD SHP VOL]" caption="BKD SHP VOL" attribute="1" defaultMemberUniqueName="[data].[BKD SHP VOL].[All]" allUniqueName="[data].[BKD SHP VOL].[All]" dimensionUniqueName="[data]" displayFolder="" count="0" memberValueDatatype="5" unbalanced="0"/>
    <cacheHierarchy uniqueName="[data].[BKD SHP PCS]" caption="BKD SHP PCS" attribute="1" defaultMemberUniqueName="[data].[BKD SHP PCS].[All]" allUniqueName="[data].[BKD SHP PCS].[All]" dimensionUniqueName="[data]" displayFolder="" count="0" memberValueDatatype="20" unbalanced="0"/>
    <cacheHierarchy uniqueName="[data].[PROD TYPE]" caption="PROD TYPE" attribute="1" defaultMemberUniqueName="[data].[PROD TYPE].[All]" allUniqueName="[data].[PROD TYPE].[All]" dimensionUniqueName="[data]" displayFolder="" count="0" memberValueDatatype="130" unbalanced="0"/>
    <cacheHierarchy uniqueName="[data].[LOAD PRIO]" caption="LOAD PRIO" attribute="1" defaultMemberUniqueName="[data].[LOAD PRIO].[All]" allUniqueName="[data].[LOAD PRIO].[All]" dimensionUniqueName="[data]" displayFolder="" count="0" memberValueDatatype="130" unbalanced="0"/>
    <cacheHierarchy uniqueName="[data].[CNX FLT]" caption="CNX FLT" attribute="1" defaultMemberUniqueName="[data].[CNX FLT].[All]" allUniqueName="[data].[CNX FLT].[All]" dimensionUniqueName="[data]" displayFolder="" count="2" memberValueDatatype="130" unbalanced="0">
      <fieldsUsage count="2">
        <fieldUsage x="-1"/>
        <fieldUsage x="7"/>
      </fieldsUsage>
    </cacheHierarchy>
    <cacheHierarchy uniqueName="[data].[EXP FLT TYPE]" caption="EXP FLT TYPE" attribute="1" defaultMemberUniqueName="[data].[EXP FLT TYPE].[All]" allUniqueName="[data].[EXP FLT TYPE].[All]" dimensionUniqueName="[data]" displayFolder="" count="0" memberValueDatatype="130" unbalanced="0"/>
    <cacheHierarchy uniqueName="[data].[SCH DEP TIME]" caption="SCH DEP TIME" attribute="1" time="1" defaultMemberUniqueName="[data].[SCH DEP TIME].[All]" allUniqueName="[data].[SCH DEP TIME].[All]" dimensionUniqueName="[data]" displayFolder="" count="0" memberValueDatatype="7" unbalanced="0"/>
    <cacheHierarchy uniqueName="[data].[CNX MVT STS]" caption="CNX MVT STS" attribute="1" defaultMemberUniqueName="[data].[CNX MVT STS].[All]" allUniqueName="[data].[CNX MVT STS].[All]" dimensionUniqueName="[data]" displayFolder="" count="0" memberValueDatatype="130" unbalanced="0"/>
    <cacheHierarchy uniqueName="[data].[CNX_TIME]" caption="CNX_TIME" attribute="1" time="1" defaultMemberUniqueName="[data].[CNX_TIME].[All]" allUniqueName="[data].[CNX_TIME].[All]" dimensionUniqueName="[data]" displayFolder="" count="0" memberValueDatatype="7" unbalanced="0"/>
    <cacheHierarchy uniqueName="[data].[CNX_PRIO]" caption="CNX_PRIO" attribute="1" defaultMemberUniqueName="[data].[CNX_PRIO].[All]" allUniqueName="[data].[CNX_PRIO].[All]" dimensionUniqueName="[data]" displayFolder="" count="0" memberValueDatatype="20" unbalanced="0"/>
    <cacheHierarchy uniqueName="[data].[THRU_UNIT]" caption="THRU_UNIT" attribute="1" defaultMemberUniqueName="[data].[THRU_UNIT].[All]" allUniqueName="[data].[THRU_UNIT].[All]" dimensionUniqueName="[data]" displayFolder="" count="0" memberValueDatatype="20" unbalanced="0"/>
    <cacheHierarchy uniqueName="[data].[LOAD_TYPE]" caption="LOAD_TYPE" attribute="1" defaultMemberUniqueName="[data].[LOAD_TYPE].[All]" allUniqueName="[data].[LOAD_TYPE].[All]" dimensionUniqueName="[data]" displayFolder="" count="0" memberValueDatatype="130" unbalanced="0"/>
    <cacheHierarchy uniqueName="[data].[IMP FLT TYPE]" caption="IMP FLT TYPE" attribute="1" defaultMemberUniqueName="[data].[IMP FLT TYPE].[All]" allUniqueName="[data].[IMP FLT TYPE].[All]" dimensionUniqueName="[data]" displayFolder="" count="2" memberValueDatatype="130" unbalanced="0">
      <fieldsUsage count="2">
        <fieldUsage x="-1"/>
        <fieldUsage x="6"/>
      </fieldsUsage>
    </cacheHierarchy>
    <cacheHierarchy uniqueName="[Measures].[CNX_FLT_meas]" caption="CNX_FLT_meas" measure="1" displayFolder="" measureGroup="data" count="0" oneField="1">
      <fieldsUsage count="1">
        <fieldUsage x="3"/>
      </fieldsUsage>
    </cacheHierarchy>
    <cacheHierarchy uniqueName="[Measures].[Count ULDs]" caption="Count ULDs"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Count of CNX_TIME]" caption="Count of CNX_TIME" measure="1" displayFolder="" measureGroup="data" count="0" hidden="1">
      <extLst>
        <ext xmlns:x15="http://schemas.microsoft.com/office/spreadsheetml/2010/11/main" uri="{B97F6D7D-B522-45F9-BDA1-12C45D357490}">
          <x15:cacheHierarchy aggregatedColumn="23"/>
        </ext>
      </extLst>
    </cacheHierarchy>
    <cacheHierarchy uniqueName="[Measures].[Count of SCH DEP TIME]" caption="Count of SCH DEP TIME" measure="1" displayFolder="" measureGroup="data" count="0" hidden="1">
      <extLst>
        <ext xmlns:x15="http://schemas.microsoft.com/office/spreadsheetml/2010/11/main" uri="{B97F6D7D-B522-45F9-BDA1-12C45D357490}">
          <x15:cacheHierarchy aggregatedColumn="21"/>
        </ext>
      </extLst>
    </cacheHierarchy>
    <cacheHierarchy uniqueName="[Measures].[Count of ULD ID]" caption="Count of ULD ID" measure="1" displayFolder="" measureGroup="data" count="0" hidden="1">
      <extLst>
        <ext xmlns:x15="http://schemas.microsoft.com/office/spreadsheetml/2010/11/main" uri="{B97F6D7D-B522-45F9-BDA1-12C45D357490}">
          <x15:cacheHierarchy aggregatedColumn="4"/>
        </ext>
      </extLst>
    </cacheHierarchy>
    <cacheHierarchy uniqueName="[Measures].[Distinct Count of ULD ID]" caption="Distinct Count of ULD ID" measure="1" displayFolder="" measureGroup="data" count="0" hidden="1">
      <extLst>
        <ext xmlns:x15="http://schemas.microsoft.com/office/spreadsheetml/2010/11/main" uri="{B97F6D7D-B522-45F9-BDA1-12C45D357490}">
          <x15:cacheHierarchy aggregatedColumn="4"/>
        </ext>
      </extLst>
    </cacheHierarchy>
    <cacheHierarchy uniqueName="[Measures].[Count of SCH ARR TIME2]" caption="Count of SCH ARR TIME2" measure="1" displayFolder="" measureGroup="data" count="0" hidden="1">
      <extLst>
        <ext xmlns:x15="http://schemas.microsoft.com/office/spreadsheetml/2010/11/main" uri="{B97F6D7D-B522-45F9-BDA1-12C45D357490}">
          <x15:cacheHierarchy aggregatedColumn="2"/>
        </ext>
      </extLst>
    </cacheHierarchy>
    <cacheHierarchy uniqueName="[Measures].[Sum of BKD SHP PCS]" caption="Sum of BKD SHP PCS" measure="1" displayFolder="" measureGroup="data" count="0" hidden="1">
      <extLst>
        <ext xmlns:x15="http://schemas.microsoft.com/office/spreadsheetml/2010/11/main" uri="{B97F6D7D-B522-45F9-BDA1-12C45D357490}">
          <x15:cacheHierarchy aggregatedColumn="16"/>
        </ext>
      </extLst>
    </cacheHierarchy>
    <cacheHierarchy uniqueName="[Measures].[Sum of BKD SHP WT]" caption="Sum of BKD SHP WT" measure="1" displayFolder="" measureGroup="data" count="0" hidden="1">
      <extLst>
        <ext xmlns:x15="http://schemas.microsoft.com/office/spreadsheetml/2010/11/main" uri="{B97F6D7D-B522-45F9-BDA1-12C45D357490}">
          <x15:cacheHierarchy aggregatedColumn="14"/>
        </ext>
      </extLst>
    </cacheHierarchy>
    <cacheHierarchy uniqueName="[Measures].[Sum of BKD SHP VOL]" caption="Sum of BKD SHP VOL" measure="1" displayFolder="" measureGroup="data" count="0" hidden="1">
      <extLst>
        <ext xmlns:x15="http://schemas.microsoft.com/office/spreadsheetml/2010/11/main" uri="{B97F6D7D-B522-45F9-BDA1-12C45D357490}">
          <x15:cacheHierarchy aggregatedColumn="15"/>
        </ext>
      </extLst>
    </cacheHierarchy>
    <cacheHierarchy uniqueName="[Measures].[Sum of CNX_PRIO]" caption="Sum of CNX_PRIO" measure="1" displayFolder="" measureGroup="data" count="0" hidden="1">
      <extLst>
        <ext xmlns:x15="http://schemas.microsoft.com/office/spreadsheetml/2010/11/main" uri="{B97F6D7D-B522-45F9-BDA1-12C45D357490}">
          <x15:cacheHierarchy aggregatedColumn="24"/>
        </ext>
      </extLst>
    </cacheHierarchy>
    <cacheHierarchy uniqueName="[Measures].[Min of CNX_PRIO]" caption="Min of CNX_PRIO" measure="1" displayFolder="" measureGroup="data" count="0" oneField="1" hidden="1">
      <fieldsUsage count="1">
        <fieldUsage x="5"/>
      </fieldsUsage>
      <extLst>
        <ext xmlns:x15="http://schemas.microsoft.com/office/spreadsheetml/2010/11/main" uri="{B97F6D7D-B522-45F9-BDA1-12C45D357490}">
          <x15:cacheHierarchy aggregatedColumn="24"/>
        </ext>
      </extLst>
    </cacheHierarchy>
    <cacheHierarchy uniqueName="[Measures].[Sum of THRU_UNIT]" caption="Sum of THRU_UNIT" measure="1" displayFolder="" measureGroup="data" count="0" hidden="1">
      <extLst>
        <ext xmlns:x15="http://schemas.microsoft.com/office/spreadsheetml/2010/11/main" uri="{B97F6D7D-B522-45F9-BDA1-12C45D357490}">
          <x15:cacheHierarchy aggregatedColumn="25"/>
        </ext>
      </extLst>
    </cacheHierarchy>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ri" refreshedDate="44272.590495138887" createdVersion="5" refreshedVersion="6" minRefreshableVersion="3" recordCount="0" supportSubquery="1" supportAdvancedDrill="1" xr:uid="{BA9CFBB3-6003-40BA-9184-7AEC318F6B2E}">
  <cacheSource type="external" connectionId="3"/>
  <cacheFields count="7">
    <cacheField name="[data].[FLT NUM].[FLT NUM]" caption="FLT NUM" numFmtId="0" hierarchy="3" level="1">
      <sharedItems count="5">
        <s v="AY0042"/>
        <s v="AY0072"/>
        <s v="AY0078"/>
        <s v="AY0088"/>
        <s v="AY0142"/>
      </sharedItems>
      <extLst>
        <ext xmlns:x15="http://schemas.microsoft.com/office/spreadsheetml/2010/11/main" uri="{4F2E5C28-24EA-4eb8-9CBF-B6C8F9C3D259}">
          <x15:cachedUniqueNames>
            <x15:cachedUniqueName index="0" name="[data].[FLT NUM].&amp;[AY0042]"/>
            <x15:cachedUniqueName index="1" name="[data].[FLT NUM].&amp;[AY0072]"/>
            <x15:cachedUniqueName index="2" name="[data].[FLT NUM].&amp;[AY0078]"/>
            <x15:cachedUniqueName index="3" name="[data].[FLT NUM].&amp;[AY0088]"/>
            <x15:cachedUniqueName index="4" name="[data].[FLT NUM].&amp;[AY0142]"/>
          </x15:cachedUniqueNames>
        </ext>
      </extLst>
    </cacheField>
    <cacheField name="[data].[IMP AC TYPE].[IMP AC TYPE]" caption="IMP AC TYPE" numFmtId="0" hierarchy="8" level="1">
      <sharedItems containsSemiMixedTypes="0" containsNonDate="0" containsString="0"/>
    </cacheField>
    <cacheField name="[data].[IMP FLT TYPE].[IMP FLT TYPE]" caption="IMP FLT TYPE" numFmtId="0" hierarchy="27" level="1">
      <sharedItems containsSemiMixedTypes="0" containsNonDate="0" containsString="0"/>
    </cacheField>
    <cacheField name="[Measures].[Count ULDs]" caption="Count ULDs" numFmtId="0" hierarchy="29" level="32767"/>
    <cacheField name="[Measures].[Sum of BKD SHP PCS]" caption="Sum of BKD SHP PCS" numFmtId="0" hierarchy="37" level="32767"/>
    <cacheField name="[Measures].[Sum of BKD SHP WT]" caption="Sum of BKD SHP WT" numFmtId="0" hierarchy="38" level="32767"/>
    <cacheField name="[Measures].[Sum of BKD SHP VOL]" caption="Sum of BKD SHP VOL" numFmtId="0" hierarchy="39" level="32767"/>
  </cacheFields>
  <cacheHierarchies count="43">
    <cacheHierarchy uniqueName="[data].[SCH ARR TIME]" caption="SCH ARR TIME" attribute="1" time="1" defaultMemberUniqueName="[data].[SCH ARR TIME].[All]" allUniqueName="[data].[SCH ARR TIME].[All]" dimensionUniqueName="[data]" displayFolder="" count="0" memberValueDatatype="7" unbalanced="0"/>
    <cacheHierarchy uniqueName="[data].[SCH ARR  DATE]" caption="SCH ARR  DATE" attribute="1" time="1" defaultMemberUniqueName="[data].[SCH ARR  DATE].[All]" allUniqueName="[data].[SCH ARR  DATE].[All]" dimensionUniqueName="[data]" displayFolder="" count="0" memberValueDatatype="7" unbalanced="0"/>
    <cacheHierarchy uniqueName="[data].[SCH ARR TIME2]" caption="SCH ARR TIME2" attribute="1" time="1" defaultMemberUniqueName="[data].[SCH ARR TIME2].[All]" allUniqueName="[data].[SCH ARR TIME2].[All]" dimensionUniqueName="[data]" displayFolder="" count="0" memberValueDatatype="7" unbalanced="0"/>
    <cacheHierarchy uniqueName="[data].[FLT NUM]" caption="FLT NUM" attribute="1" defaultMemberUniqueName="[data].[FLT NUM].[All]" allUniqueName="[data].[FLT NUM].[All]" dimensionUniqueName="[data]" displayFolder="" count="2" memberValueDatatype="130" unbalanced="0">
      <fieldsUsage count="2">
        <fieldUsage x="-1"/>
        <fieldUsage x="0"/>
      </fieldsUsage>
    </cacheHierarchy>
    <cacheHierarchy uniqueName="[data].[ULD ID]" caption="ULD ID" attribute="1" defaultMemberUniqueName="[data].[ULD ID].[All]" allUniqueName="[data].[ULD ID].[All]" dimensionUniqueName="[data]" displayFolder="" count="0" memberValueDatatype="130" unbalanced="0"/>
    <cacheHierarchy uniqueName="[data].[AWB NUM]" caption="AWB NUM" attribute="1" defaultMemberUniqueName="[data].[AWB NUM].[All]" allUniqueName="[data].[AWB NUM].[All]" dimensionUniqueName="[data]" displayFolder="" count="0" memberValueDatatype="130" unbalanced="0"/>
    <cacheHierarchy uniqueName="[data].[Average of TIME_TO_ARR]" caption="Average of TIME_TO_ARR" attribute="1" defaultMemberUniqueName="[data].[Average of TIME_TO_ARR].[All]" allUniqueName="[data].[Average of TIME_TO_ARR].[All]" dimensionUniqueName="[data]" displayFolder="" count="0" memberValueDatatype="20" unbalanced="0"/>
    <cacheHierarchy uniqueName="[data].[Average of TIME_TO_RCF]" caption="Average of TIME_TO_RCF" attribute="1" defaultMemberUniqueName="[data].[Average of TIME_TO_RCF].[All]" allUniqueName="[data].[Average of TIME_TO_RCF].[All]" dimensionUniqueName="[data]" displayFolder="" count="0" memberValueDatatype="20" unbalanced="0"/>
    <cacheHierarchy uniqueName="[data].[IMP AC TYPE]" caption="IMP AC TYPE" attribute="1" defaultMemberUniqueName="[data].[IMP AC TYPE].[All]" allUniqueName="[data].[IMP AC TYPE].[All]" dimensionUniqueName="[data]" displayFolder="" count="2" memberValueDatatype="130" unbalanced="0">
      <fieldsUsage count="2">
        <fieldUsage x="-1"/>
        <fieldUsage x="1"/>
      </fieldsUsage>
    </cacheHierarchy>
    <cacheHierarchy uniqueName="[data].[CNX TIME (24H DAY)]" caption="CNX TIME (24H DAY)" attribute="1" defaultMemberUniqueName="[data].[CNX TIME (24H DAY)].[All]" allUniqueName="[data].[CNX TIME (24H DAY)].[All]" dimensionUniqueName="[data]" displayFolder="" count="0" memberValueDatatype="130" unbalanced="0"/>
    <cacheHierarchy uniqueName="[data].[CNX HH:MM]" caption="CNX HH:MM" attribute="1" defaultMemberUniqueName="[data].[CNX HH:MM].[All]" allUniqueName="[data].[CNX HH:MM].[All]" dimensionUniqueName="[data]" displayFolder="" count="0" memberValueDatatype="130" unbalanced="0"/>
    <cacheHierarchy uniqueName="[data].[ORIG]" caption="ORIG" attribute="1" defaultMemberUniqueName="[data].[ORIG].[All]" allUniqueName="[data].[ORIG].[All]" dimensionUniqueName="[data]" displayFolder="" count="0" memberValueDatatype="130" unbalanced="0"/>
    <cacheHierarchy uniqueName="[data].[DEST]" caption="DEST" attribute="1" defaultMemberUniqueName="[data].[DEST].[All]" allUniqueName="[data].[DEST].[All]" dimensionUniqueName="[data]" displayFolder="" count="0" memberValueDatatype="130" unbalanced="0"/>
    <cacheHierarchy uniqueName="[data].[IMP LEG STS]" caption="IMP LEG STS" attribute="1" defaultMemberUniqueName="[data].[IMP LEG STS].[All]" allUniqueName="[data].[IMP LEG STS].[All]" dimensionUniqueName="[data]" displayFolder="" count="0" memberValueDatatype="130" unbalanced="0"/>
    <cacheHierarchy uniqueName="[data].[BKD SHP WT]" caption="BKD SHP WT" attribute="1" defaultMemberUniqueName="[data].[BKD SHP WT].[All]" allUniqueName="[data].[BKD SHP WT].[All]" dimensionUniqueName="[data]" displayFolder="" count="0" memberValueDatatype="5" unbalanced="0"/>
    <cacheHierarchy uniqueName="[data].[BKD SHP VOL]" caption="BKD SHP VOL" attribute="1" defaultMemberUniqueName="[data].[BKD SHP VOL].[All]" allUniqueName="[data].[BKD SHP VOL].[All]" dimensionUniqueName="[data]" displayFolder="" count="0" memberValueDatatype="5" unbalanced="0"/>
    <cacheHierarchy uniqueName="[data].[BKD SHP PCS]" caption="BKD SHP PCS" attribute="1" defaultMemberUniqueName="[data].[BKD SHP PCS].[All]" allUniqueName="[data].[BKD SHP PCS].[All]" dimensionUniqueName="[data]" displayFolder="" count="0" memberValueDatatype="20" unbalanced="0"/>
    <cacheHierarchy uniqueName="[data].[PROD TYPE]" caption="PROD TYPE" attribute="1" defaultMemberUniqueName="[data].[PROD TYPE].[All]" allUniqueName="[data].[PROD TYPE].[All]" dimensionUniqueName="[data]" displayFolder="" count="0" memberValueDatatype="130" unbalanced="0"/>
    <cacheHierarchy uniqueName="[data].[LOAD PRIO]" caption="LOAD PRIO" attribute="1" defaultMemberUniqueName="[data].[LOAD PRIO].[All]" allUniqueName="[data].[LOAD PRIO].[All]" dimensionUniqueName="[data]" displayFolder="" count="0" memberValueDatatype="130" unbalanced="0"/>
    <cacheHierarchy uniqueName="[data].[CNX FLT]" caption="CNX FLT" attribute="1" defaultMemberUniqueName="[data].[CNX FLT].[All]" allUniqueName="[data].[CNX FLT].[All]" dimensionUniqueName="[data]" displayFolder="" count="0" memberValueDatatype="130" unbalanced="0"/>
    <cacheHierarchy uniqueName="[data].[EXP FLT TYPE]" caption="EXP FLT TYPE" attribute="1" defaultMemberUniqueName="[data].[EXP FLT TYPE].[All]" allUniqueName="[data].[EXP FLT TYPE].[All]" dimensionUniqueName="[data]" displayFolder="" count="0" memberValueDatatype="130" unbalanced="0"/>
    <cacheHierarchy uniqueName="[data].[SCH DEP TIME]" caption="SCH DEP TIME" attribute="1" time="1" defaultMemberUniqueName="[data].[SCH DEP TIME].[All]" allUniqueName="[data].[SCH DEP TIME].[All]" dimensionUniqueName="[data]" displayFolder="" count="0" memberValueDatatype="7" unbalanced="0"/>
    <cacheHierarchy uniqueName="[data].[CNX MVT STS]" caption="CNX MVT STS" attribute="1" defaultMemberUniqueName="[data].[CNX MVT STS].[All]" allUniqueName="[data].[CNX MVT STS].[All]" dimensionUniqueName="[data]" displayFolder="" count="0" memberValueDatatype="130" unbalanced="0"/>
    <cacheHierarchy uniqueName="[data].[CNX_TIME]" caption="CNX_TIME" attribute="1" time="1" defaultMemberUniqueName="[data].[CNX_TIME].[All]" allUniqueName="[data].[CNX_TIME].[All]" dimensionUniqueName="[data]" displayFolder="" count="0" memberValueDatatype="7" unbalanced="0"/>
    <cacheHierarchy uniqueName="[data].[CNX_PRIO]" caption="CNX_PRIO" attribute="1" defaultMemberUniqueName="[data].[CNX_PRIO].[All]" allUniqueName="[data].[CNX_PRIO].[All]" dimensionUniqueName="[data]" displayFolder="" count="0" memberValueDatatype="20" unbalanced="0"/>
    <cacheHierarchy uniqueName="[data].[THRU_UNIT]" caption="THRU_UNIT" attribute="1" defaultMemberUniqueName="[data].[THRU_UNIT].[All]" allUniqueName="[data].[THRU_UNIT].[All]" dimensionUniqueName="[data]" displayFolder="" count="0" memberValueDatatype="20" unbalanced="0"/>
    <cacheHierarchy uniqueName="[data].[LOAD_TYPE]" caption="LOAD_TYPE" attribute="1" defaultMemberUniqueName="[data].[LOAD_TYPE].[All]" allUniqueName="[data].[LOAD_TYPE].[All]" dimensionUniqueName="[data]" displayFolder="" count="0" memberValueDatatype="130" unbalanced="0"/>
    <cacheHierarchy uniqueName="[data].[IMP FLT TYPE]" caption="IMP FLT TYPE" attribute="1" defaultMemberUniqueName="[data].[IMP FLT TYPE].[All]" allUniqueName="[data].[IMP FLT TYPE].[All]" dimensionUniqueName="[data]" displayFolder="" count="2" memberValueDatatype="130" unbalanced="0">
      <fieldsUsage count="2">
        <fieldUsage x="-1"/>
        <fieldUsage x="2"/>
      </fieldsUsage>
    </cacheHierarchy>
    <cacheHierarchy uniqueName="[Measures].[CNX_FLT_meas]" caption="CNX_FLT_meas" measure="1" displayFolder="" measureGroup="data" count="0"/>
    <cacheHierarchy uniqueName="[Measures].[Count ULDs]" caption="Count ULDs" measure="1" displayFolder="" measureGroup="data" count="0" oneField="1">
      <fieldsUsage count="1">
        <fieldUsage x="3"/>
      </fieldsUsage>
    </cacheHierarchy>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Count of CNX_TIME]" caption="Count of CNX_TIME" measure="1" displayFolder="" measureGroup="data" count="0" hidden="1">
      <extLst>
        <ext xmlns:x15="http://schemas.microsoft.com/office/spreadsheetml/2010/11/main" uri="{B97F6D7D-B522-45F9-BDA1-12C45D357490}">
          <x15:cacheHierarchy aggregatedColumn="23"/>
        </ext>
      </extLst>
    </cacheHierarchy>
    <cacheHierarchy uniqueName="[Measures].[Count of SCH DEP TIME]" caption="Count of SCH DEP TIME" measure="1" displayFolder="" measureGroup="data" count="0" hidden="1">
      <extLst>
        <ext xmlns:x15="http://schemas.microsoft.com/office/spreadsheetml/2010/11/main" uri="{B97F6D7D-B522-45F9-BDA1-12C45D357490}">
          <x15:cacheHierarchy aggregatedColumn="21"/>
        </ext>
      </extLst>
    </cacheHierarchy>
    <cacheHierarchy uniqueName="[Measures].[Count of ULD ID]" caption="Count of ULD ID" measure="1" displayFolder="" measureGroup="data" count="0" hidden="1">
      <extLst>
        <ext xmlns:x15="http://schemas.microsoft.com/office/spreadsheetml/2010/11/main" uri="{B97F6D7D-B522-45F9-BDA1-12C45D357490}">
          <x15:cacheHierarchy aggregatedColumn="4"/>
        </ext>
      </extLst>
    </cacheHierarchy>
    <cacheHierarchy uniqueName="[Measures].[Distinct Count of ULD ID]" caption="Distinct Count of ULD ID" measure="1" displayFolder="" measureGroup="data" count="0" hidden="1">
      <extLst>
        <ext xmlns:x15="http://schemas.microsoft.com/office/spreadsheetml/2010/11/main" uri="{B97F6D7D-B522-45F9-BDA1-12C45D357490}">
          <x15:cacheHierarchy aggregatedColumn="4"/>
        </ext>
      </extLst>
    </cacheHierarchy>
    <cacheHierarchy uniqueName="[Measures].[Count of SCH ARR TIME2]" caption="Count of SCH ARR TIME2" measure="1" displayFolder="" measureGroup="data" count="0" hidden="1">
      <extLst>
        <ext xmlns:x15="http://schemas.microsoft.com/office/spreadsheetml/2010/11/main" uri="{B97F6D7D-B522-45F9-BDA1-12C45D357490}">
          <x15:cacheHierarchy aggregatedColumn="2"/>
        </ext>
      </extLst>
    </cacheHierarchy>
    <cacheHierarchy uniqueName="[Measures].[Sum of BKD SHP PCS]" caption="Sum of BKD SHP PCS" measure="1" displayFolder="" measureGroup="data" count="0" oneField="1" hidden="1">
      <fieldsUsage count="1">
        <fieldUsage x="4"/>
      </fieldsUsage>
      <extLst>
        <ext xmlns:x15="http://schemas.microsoft.com/office/spreadsheetml/2010/11/main" uri="{B97F6D7D-B522-45F9-BDA1-12C45D357490}">
          <x15:cacheHierarchy aggregatedColumn="16"/>
        </ext>
      </extLst>
    </cacheHierarchy>
    <cacheHierarchy uniqueName="[Measures].[Sum of BKD SHP WT]" caption="Sum of BKD SHP WT" measure="1" displayFolder="" measureGroup="data" count="0" oneField="1" hidden="1">
      <fieldsUsage count="1">
        <fieldUsage x="5"/>
      </fieldsUsage>
      <extLst>
        <ext xmlns:x15="http://schemas.microsoft.com/office/spreadsheetml/2010/11/main" uri="{B97F6D7D-B522-45F9-BDA1-12C45D357490}">
          <x15:cacheHierarchy aggregatedColumn="14"/>
        </ext>
      </extLst>
    </cacheHierarchy>
    <cacheHierarchy uniqueName="[Measures].[Sum of BKD SHP VOL]" caption="Sum of BKD SHP VOL" measure="1" displayFolder="" measureGroup="data" count="0" oneField="1" hidden="1">
      <fieldsUsage count="1">
        <fieldUsage x="6"/>
      </fieldsUsage>
      <extLst>
        <ext xmlns:x15="http://schemas.microsoft.com/office/spreadsheetml/2010/11/main" uri="{B97F6D7D-B522-45F9-BDA1-12C45D357490}">
          <x15:cacheHierarchy aggregatedColumn="15"/>
        </ext>
      </extLst>
    </cacheHierarchy>
    <cacheHierarchy uniqueName="[Measures].[Sum of CNX_PRIO]" caption="Sum of CNX_PRIO" measure="1" displayFolder="" measureGroup="data" count="0" hidden="1">
      <extLst>
        <ext xmlns:x15="http://schemas.microsoft.com/office/spreadsheetml/2010/11/main" uri="{B97F6D7D-B522-45F9-BDA1-12C45D357490}">
          <x15:cacheHierarchy aggregatedColumn="24"/>
        </ext>
      </extLst>
    </cacheHierarchy>
    <cacheHierarchy uniqueName="[Measures].[Min of CNX_PRIO]" caption="Min of CNX_PRIO" measure="1" displayFolder="" measureGroup="data" count="0" hidden="1">
      <extLst>
        <ext xmlns:x15="http://schemas.microsoft.com/office/spreadsheetml/2010/11/main" uri="{B97F6D7D-B522-45F9-BDA1-12C45D357490}">
          <x15:cacheHierarchy aggregatedColumn="24"/>
        </ext>
      </extLst>
    </cacheHierarchy>
    <cacheHierarchy uniqueName="[Measures].[Sum of THRU_UNIT]" caption="Sum of THRU_UNIT" measure="1" displayFolder="" measureGroup="data" count="0" hidden="1">
      <extLst>
        <ext xmlns:x15="http://schemas.microsoft.com/office/spreadsheetml/2010/11/main" uri="{B97F6D7D-B522-45F9-BDA1-12C45D357490}">
          <x15:cacheHierarchy aggregatedColumn="25"/>
        </ext>
      </extLst>
    </cacheHierarchy>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ri" refreshedDate="44272.590488078706" createdVersion="3" refreshedVersion="6" minRefreshableVersion="3" recordCount="0" supportSubquery="1" supportAdvancedDrill="1" xr:uid="{45989686-F7FF-450A-BAF0-FD7B006D1B41}">
  <cacheSource type="external" connectionId="3">
    <extLst>
      <ext xmlns:x14="http://schemas.microsoft.com/office/spreadsheetml/2009/9/main" uri="{F057638F-6D5F-4e77-A914-E7F072B9BCA8}">
        <x14:sourceConnection name="ThisWorkbookDataModel"/>
      </ext>
    </extLst>
  </cacheSource>
  <cacheFields count="0"/>
  <cacheHierarchies count="43">
    <cacheHierarchy uniqueName="[data].[SCH ARR TIME]" caption="SCH ARR TIME" attribute="1" time="1" defaultMemberUniqueName="[data].[SCH ARR TIME].[All]" allUniqueName="[data].[SCH ARR TIME].[All]" dimensionUniqueName="[data]" displayFolder="" count="0" memberValueDatatype="7" unbalanced="0"/>
    <cacheHierarchy uniqueName="[data].[SCH ARR  DATE]" caption="SCH ARR  DATE" attribute="1" time="1" defaultMemberUniqueName="[data].[SCH ARR  DATE].[All]" allUniqueName="[data].[SCH ARR  DATE].[All]" dimensionUniqueName="[data]" displayFolder="" count="0" memberValueDatatype="7" unbalanced="0"/>
    <cacheHierarchy uniqueName="[data].[SCH ARR TIME2]" caption="SCH ARR TIME2" attribute="1" time="1" defaultMemberUniqueName="[data].[SCH ARR TIME2].[All]" allUniqueName="[data].[SCH ARR TIME2].[All]" dimensionUniqueName="[data]" displayFolder="" count="0" memberValueDatatype="7" unbalanced="0"/>
    <cacheHierarchy uniqueName="[data].[FLT NUM]" caption="FLT NUM" attribute="1" defaultMemberUniqueName="[data].[FLT NUM].[All]" allUniqueName="[data].[FLT NUM].[All]" dimensionUniqueName="[data]" displayFolder="" count="2" memberValueDatatype="130" unbalanced="0"/>
    <cacheHierarchy uniqueName="[data].[ULD ID]" caption="ULD ID" attribute="1" defaultMemberUniqueName="[data].[ULD ID].[All]" allUniqueName="[data].[ULD ID].[All]" dimensionUniqueName="[data]" displayFolder="" count="0" memberValueDatatype="130" unbalanced="0"/>
    <cacheHierarchy uniqueName="[data].[AWB NUM]" caption="AWB NUM" attribute="1" defaultMemberUniqueName="[data].[AWB NUM].[All]" allUniqueName="[data].[AWB NUM].[All]" dimensionUniqueName="[data]" displayFolder="" count="0" memberValueDatatype="130" unbalanced="0"/>
    <cacheHierarchy uniqueName="[data].[Average of TIME_TO_ARR]" caption="Average of TIME_TO_ARR" attribute="1" defaultMemberUniqueName="[data].[Average of TIME_TO_ARR].[All]" allUniqueName="[data].[Average of TIME_TO_ARR].[All]" dimensionUniqueName="[data]" displayFolder="" count="0" memberValueDatatype="20" unbalanced="0"/>
    <cacheHierarchy uniqueName="[data].[Average of TIME_TO_RCF]" caption="Average of TIME_TO_RCF" attribute="1" defaultMemberUniqueName="[data].[Average of TIME_TO_RCF].[All]" allUniqueName="[data].[Average of TIME_TO_RCF].[All]" dimensionUniqueName="[data]" displayFolder="" count="0" memberValueDatatype="20" unbalanced="0"/>
    <cacheHierarchy uniqueName="[data].[IMP AC TYPE]" caption="IMP AC TYPE" attribute="1" defaultMemberUniqueName="[data].[IMP AC TYPE].[All]" allUniqueName="[data].[IMP AC TYPE].[All]" dimensionUniqueName="[data]" displayFolder="" count="0" memberValueDatatype="130" unbalanced="0"/>
    <cacheHierarchy uniqueName="[data].[CNX TIME (24H DAY)]" caption="CNX TIME (24H DAY)" attribute="1" defaultMemberUniqueName="[data].[CNX TIME (24H DAY)].[All]" allUniqueName="[data].[CNX TIME (24H DAY)].[All]" dimensionUniqueName="[data]" displayFolder="" count="0" memberValueDatatype="130" unbalanced="0"/>
    <cacheHierarchy uniqueName="[data].[CNX HH:MM]" caption="CNX HH:MM" attribute="1" defaultMemberUniqueName="[data].[CNX HH:MM].[All]" allUniqueName="[data].[CNX HH:MM].[All]" dimensionUniqueName="[data]" displayFolder="" count="0" memberValueDatatype="130" unbalanced="0"/>
    <cacheHierarchy uniqueName="[data].[ORIG]" caption="ORIG" attribute="1" defaultMemberUniqueName="[data].[ORIG].[All]" allUniqueName="[data].[ORIG].[All]" dimensionUniqueName="[data]" displayFolder="" count="0" memberValueDatatype="130" unbalanced="0"/>
    <cacheHierarchy uniqueName="[data].[DEST]" caption="DEST" attribute="1" defaultMemberUniqueName="[data].[DEST].[All]" allUniqueName="[data].[DEST].[All]" dimensionUniqueName="[data]" displayFolder="" count="0" memberValueDatatype="130" unbalanced="0"/>
    <cacheHierarchy uniqueName="[data].[IMP LEG STS]" caption="IMP LEG STS" attribute="1" defaultMemberUniqueName="[data].[IMP LEG STS].[All]" allUniqueName="[data].[IMP LEG STS].[All]" dimensionUniqueName="[data]" displayFolder="" count="0" memberValueDatatype="130" unbalanced="0"/>
    <cacheHierarchy uniqueName="[data].[BKD SHP WT]" caption="BKD SHP WT" attribute="1" defaultMemberUniqueName="[data].[BKD SHP WT].[All]" allUniqueName="[data].[BKD SHP WT].[All]" dimensionUniqueName="[data]" displayFolder="" count="0" memberValueDatatype="5" unbalanced="0"/>
    <cacheHierarchy uniqueName="[data].[BKD SHP VOL]" caption="BKD SHP VOL" attribute="1" defaultMemberUniqueName="[data].[BKD SHP VOL].[All]" allUniqueName="[data].[BKD SHP VOL].[All]" dimensionUniqueName="[data]" displayFolder="" count="0" memberValueDatatype="5" unbalanced="0"/>
    <cacheHierarchy uniqueName="[data].[BKD SHP PCS]" caption="BKD SHP PCS" attribute="1" defaultMemberUniqueName="[data].[BKD SHP PCS].[All]" allUniqueName="[data].[BKD SHP PCS].[All]" dimensionUniqueName="[data]" displayFolder="" count="0" memberValueDatatype="20" unbalanced="0"/>
    <cacheHierarchy uniqueName="[data].[PROD TYPE]" caption="PROD TYPE" attribute="1" defaultMemberUniqueName="[data].[PROD TYPE].[All]" allUniqueName="[data].[PROD TYPE].[All]" dimensionUniqueName="[data]" displayFolder="" count="0" memberValueDatatype="130" unbalanced="0"/>
    <cacheHierarchy uniqueName="[data].[LOAD PRIO]" caption="LOAD PRIO" attribute="1" defaultMemberUniqueName="[data].[LOAD PRIO].[All]" allUniqueName="[data].[LOAD PRIO].[All]" dimensionUniqueName="[data]" displayFolder="" count="0" memberValueDatatype="130" unbalanced="0"/>
    <cacheHierarchy uniqueName="[data].[CNX FLT]" caption="CNX FLT" attribute="1" defaultMemberUniqueName="[data].[CNX FLT].[All]" allUniqueName="[data].[CNX FLT].[All]" dimensionUniqueName="[data]" displayFolder="" count="2" memberValueDatatype="130" unbalanced="0"/>
    <cacheHierarchy uniqueName="[data].[EXP FLT TYPE]" caption="EXP FLT TYPE" attribute="1" defaultMemberUniqueName="[data].[EXP FLT TYPE].[All]" allUniqueName="[data].[EXP FLT TYPE].[All]" dimensionUniqueName="[data]" displayFolder="" count="0" memberValueDatatype="130" unbalanced="0"/>
    <cacheHierarchy uniqueName="[data].[SCH DEP TIME]" caption="SCH DEP TIME" attribute="1" time="1" defaultMemberUniqueName="[data].[SCH DEP TIME].[All]" allUniqueName="[data].[SCH DEP TIME].[All]" dimensionUniqueName="[data]" displayFolder="" count="0" memberValueDatatype="7" unbalanced="0"/>
    <cacheHierarchy uniqueName="[data].[CNX MVT STS]" caption="CNX MVT STS" attribute="1" defaultMemberUniqueName="[data].[CNX MVT STS].[All]" allUniqueName="[data].[CNX MVT STS].[All]" dimensionUniqueName="[data]" displayFolder="" count="0" memberValueDatatype="130" unbalanced="0"/>
    <cacheHierarchy uniqueName="[data].[CNX_TIME]" caption="CNX_TIME" attribute="1" time="1" defaultMemberUniqueName="[data].[CNX_TIME].[All]" allUniqueName="[data].[CNX_TIME].[All]" dimensionUniqueName="[data]" displayFolder="" count="0" memberValueDatatype="7" unbalanced="0"/>
    <cacheHierarchy uniqueName="[data].[CNX_PRIO]" caption="CNX_PRIO" attribute="1" defaultMemberUniqueName="[data].[CNX_PRIO].[All]" allUniqueName="[data].[CNX_PRIO].[All]" dimensionUniqueName="[data]" displayFolder="" count="0" memberValueDatatype="20" unbalanced="0"/>
    <cacheHierarchy uniqueName="[data].[THRU_UNIT]" caption="THRU_UNIT" attribute="1" defaultMemberUniqueName="[data].[THRU_UNIT].[All]" allUniqueName="[data].[THRU_UNIT].[All]" dimensionUniqueName="[data]" displayFolder="" count="0" memberValueDatatype="20" unbalanced="0"/>
    <cacheHierarchy uniqueName="[data].[LOAD_TYPE]" caption="LOAD_TYPE" attribute="1" defaultMemberUniqueName="[data].[LOAD_TYPE].[All]" allUniqueName="[data].[LOAD_TYPE].[All]" dimensionUniqueName="[data]" displayFolder="" count="0" memberValueDatatype="130" unbalanced="0"/>
    <cacheHierarchy uniqueName="[data].[IMP FLT TYPE]" caption="IMP FLT TYPE" attribute="1" defaultMemberUniqueName="[data].[IMP FLT TYPE].[All]" allUniqueName="[data].[IMP FLT TYPE].[All]" dimensionUniqueName="[data]" displayFolder="" count="2" memberValueDatatype="130" unbalanced="0"/>
    <cacheHierarchy uniqueName="[Measures].[CNX_FLT_meas]" caption="CNX_FLT_meas" measure="1" displayFolder="" measureGroup="data" count="0"/>
    <cacheHierarchy uniqueName="[Measures].[Count ULDs]" caption="Count ULDs"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Count of CNX_TIME]" caption="Count of CNX_TIME" measure="1" displayFolder="" measureGroup="data" count="0" hidden="1">
      <extLst>
        <ext xmlns:x15="http://schemas.microsoft.com/office/spreadsheetml/2010/11/main" uri="{B97F6D7D-B522-45F9-BDA1-12C45D357490}">
          <x15:cacheHierarchy aggregatedColumn="23"/>
        </ext>
      </extLst>
    </cacheHierarchy>
    <cacheHierarchy uniqueName="[Measures].[Count of SCH DEP TIME]" caption="Count of SCH DEP TIME" measure="1" displayFolder="" measureGroup="data" count="0" hidden="1">
      <extLst>
        <ext xmlns:x15="http://schemas.microsoft.com/office/spreadsheetml/2010/11/main" uri="{B97F6D7D-B522-45F9-BDA1-12C45D357490}">
          <x15:cacheHierarchy aggregatedColumn="21"/>
        </ext>
      </extLst>
    </cacheHierarchy>
    <cacheHierarchy uniqueName="[Measures].[Count of ULD ID]" caption="Count of ULD ID" measure="1" displayFolder="" measureGroup="data" count="0" hidden="1">
      <extLst>
        <ext xmlns:x15="http://schemas.microsoft.com/office/spreadsheetml/2010/11/main" uri="{B97F6D7D-B522-45F9-BDA1-12C45D357490}">
          <x15:cacheHierarchy aggregatedColumn="4"/>
        </ext>
      </extLst>
    </cacheHierarchy>
    <cacheHierarchy uniqueName="[Measures].[Distinct Count of ULD ID]" caption="Distinct Count of ULD ID" measure="1" displayFolder="" measureGroup="data" count="0" hidden="1">
      <extLst>
        <ext xmlns:x15="http://schemas.microsoft.com/office/spreadsheetml/2010/11/main" uri="{B97F6D7D-B522-45F9-BDA1-12C45D357490}">
          <x15:cacheHierarchy aggregatedColumn="4"/>
        </ext>
      </extLst>
    </cacheHierarchy>
    <cacheHierarchy uniqueName="[Measures].[Count of SCH ARR TIME2]" caption="Count of SCH ARR TIME2" measure="1" displayFolder="" measureGroup="data" count="0" hidden="1">
      <extLst>
        <ext xmlns:x15="http://schemas.microsoft.com/office/spreadsheetml/2010/11/main" uri="{B97F6D7D-B522-45F9-BDA1-12C45D357490}">
          <x15:cacheHierarchy aggregatedColumn="2"/>
        </ext>
      </extLst>
    </cacheHierarchy>
    <cacheHierarchy uniqueName="[Measures].[Sum of BKD SHP PCS]" caption="Sum of BKD SHP PCS" measure="1" displayFolder="" measureGroup="data" count="0" hidden="1">
      <extLst>
        <ext xmlns:x15="http://schemas.microsoft.com/office/spreadsheetml/2010/11/main" uri="{B97F6D7D-B522-45F9-BDA1-12C45D357490}">
          <x15:cacheHierarchy aggregatedColumn="16"/>
        </ext>
      </extLst>
    </cacheHierarchy>
    <cacheHierarchy uniqueName="[Measures].[Sum of BKD SHP WT]" caption="Sum of BKD SHP WT" measure="1" displayFolder="" measureGroup="data" count="0" hidden="1">
      <extLst>
        <ext xmlns:x15="http://schemas.microsoft.com/office/spreadsheetml/2010/11/main" uri="{B97F6D7D-B522-45F9-BDA1-12C45D357490}">
          <x15:cacheHierarchy aggregatedColumn="14"/>
        </ext>
      </extLst>
    </cacheHierarchy>
    <cacheHierarchy uniqueName="[Measures].[Sum of BKD SHP VOL]" caption="Sum of BKD SHP VOL" measure="1" displayFolder="" measureGroup="data" count="0" hidden="1">
      <extLst>
        <ext xmlns:x15="http://schemas.microsoft.com/office/spreadsheetml/2010/11/main" uri="{B97F6D7D-B522-45F9-BDA1-12C45D357490}">
          <x15:cacheHierarchy aggregatedColumn="15"/>
        </ext>
      </extLst>
    </cacheHierarchy>
    <cacheHierarchy uniqueName="[Measures].[Sum of CNX_PRIO]" caption="Sum of CNX_PRIO" measure="1" displayFolder="" measureGroup="data" count="0" hidden="1">
      <extLst>
        <ext xmlns:x15="http://schemas.microsoft.com/office/spreadsheetml/2010/11/main" uri="{B97F6D7D-B522-45F9-BDA1-12C45D357490}">
          <x15:cacheHierarchy aggregatedColumn="24"/>
        </ext>
      </extLst>
    </cacheHierarchy>
    <cacheHierarchy uniqueName="[Measures].[Min of CNX_PRIO]" caption="Min of CNX_PRIO" measure="1" displayFolder="" measureGroup="data" count="0" hidden="1">
      <extLst>
        <ext xmlns:x15="http://schemas.microsoft.com/office/spreadsheetml/2010/11/main" uri="{B97F6D7D-B522-45F9-BDA1-12C45D357490}">
          <x15:cacheHierarchy aggregatedColumn="24"/>
        </ext>
      </extLst>
    </cacheHierarchy>
    <cacheHierarchy uniqueName="[Measures].[Sum of THRU_UNIT]" caption="Sum of THRU_UNIT" measure="1" displayFolder="" measureGroup="data" count="0" hidden="1">
      <extLst>
        <ext xmlns:x15="http://schemas.microsoft.com/office/spreadsheetml/2010/11/main" uri="{B97F6D7D-B522-45F9-BDA1-12C45D357490}">
          <x15:cacheHierarchy aggregatedColumn="25"/>
        </ext>
      </extLst>
    </cacheHierarchy>
  </cacheHierarchies>
  <kpis count="0"/>
  <extLst>
    <ext xmlns:x14="http://schemas.microsoft.com/office/spreadsheetml/2009/9/main" uri="{725AE2AE-9491-48be-B2B4-4EB974FC3084}">
      <x14:pivotCacheDefinition slicerData="1" pivotCacheId="101559899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9FFB3DA-44F2-414D-835D-DC3A4EA2ADE2}" name="PivotTable3" cacheId="23" applyNumberFormats="0" applyBorderFormats="0" applyFontFormats="0" applyPatternFormats="0" applyAlignmentFormats="0" applyWidthHeightFormats="1" dataCaption="Values" tag="aacd1e45-8de8-49b1-9f66-2ad4792e151c" updatedVersion="6" minRefreshableVersion="3" useAutoFormatting="1" subtotalHiddenItems="1" itemPrintTitles="1" createdVersion="5" indent="0" outline="1" outlineData="1" multipleFieldFilters="0" rowHeaderCaption="Flight">
  <location ref="D22:H28" firstHeaderRow="0" firstDataRow="1" firstDataCol="1" rowPageCount="1" colPageCount="1"/>
  <pivotFields count="7">
    <pivotField axis="axisRow" allDrilled="1" subtotalTop="0" showAll="0" defaultSubtotal="0" defaultAttributeDrillState="1">
      <items count="5">
        <item x="0"/>
        <item x="1"/>
        <item x="2"/>
        <item x="3"/>
        <item x="4"/>
      </items>
    </pivotField>
    <pivotField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6">
    <i>
      <x/>
    </i>
    <i>
      <x v="1"/>
    </i>
    <i>
      <x v="2"/>
    </i>
    <i>
      <x v="3"/>
    </i>
    <i>
      <x v="4"/>
    </i>
    <i t="grand">
      <x/>
    </i>
  </rowItems>
  <colFields count="1">
    <field x="-2"/>
  </colFields>
  <colItems count="4">
    <i>
      <x/>
    </i>
    <i i="1">
      <x v="1"/>
    </i>
    <i i="2">
      <x v="2"/>
    </i>
    <i i="3">
      <x v="3"/>
    </i>
  </colItems>
  <pageFields count="1">
    <pageField fld="2" hier="27" name="[data].[IMP FLT TYPE].&amp;[WB]" cap="WB"/>
  </pageFields>
  <dataFields count="4">
    <dataField name="ULDs" fld="3" subtotal="count" baseField="0" baseItem="0"/>
    <dataField name="BKD PCS" fld="4" baseField="0" baseItem="0"/>
    <dataField name="BKD WT" fld="5" baseField="0" baseItem="0" numFmtId="3"/>
    <dataField name="BKD VOL" fld="6" baseField="0" baseItem="0" numFmtId="1"/>
  </dataFields>
  <formats count="8">
    <format dxfId="30">
      <pivotArea type="all" dataOnly="0" outline="0" fieldPosition="0"/>
    </format>
    <format dxfId="29">
      <pivotArea outline="0" collapsedLevelsAreSubtotals="1" fieldPosition="0"/>
    </format>
    <format dxfId="28">
      <pivotArea field="0" type="button" dataOnly="0" labelOnly="1" outline="0" axis="axisRow" fieldPosition="0"/>
    </format>
    <format dxfId="27">
      <pivotArea dataOnly="0" labelOnly="1" fieldPosition="0">
        <references count="1">
          <reference field="0" count="0"/>
        </references>
      </pivotArea>
    </format>
    <format dxfId="26">
      <pivotArea dataOnly="0" labelOnly="1" grandRow="1" outline="0" fieldPosition="0"/>
    </format>
    <format dxfId="25">
      <pivotArea dataOnly="0" labelOnly="1" outline="0" fieldPosition="0">
        <references count="1">
          <reference field="4294967294" count="1">
            <x v="0"/>
          </reference>
        </references>
      </pivotArea>
    </format>
    <format dxfId="24">
      <pivotArea outline="0" fieldPosition="0">
        <references count="1">
          <reference field="4294967294" count="1">
            <x v="3"/>
          </reference>
        </references>
      </pivotArea>
    </format>
    <format dxfId="23">
      <pivotArea outline="0" fieldPosition="0">
        <references count="1">
          <reference field="4294967294" count="1">
            <x v="2"/>
          </reference>
        </references>
      </pivotArea>
    </format>
  </formats>
  <pivotHierarchies count="43">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a].[IMP AC TYPE].&amp;[359]"/>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ULDs"/>
    <pivotHierarchy dragToRow="0" dragToCol="0" dragToPage="0" dragToData="1"/>
    <pivotHierarchy dragToRow="0" dragToCol="0" dragToPage="0" dragToData="1"/>
    <pivotHierarchy dragToData="1"/>
    <pivotHierarchy dragToData="1"/>
    <pivotHierarchy dragToData="1"/>
    <pivotHierarchy dragToData="1" caption="ULDs"/>
    <pivotHierarchy dragToData="1"/>
    <pivotHierarchy dragToData="1" caption="BKD PCS"/>
    <pivotHierarchy dragToData="1" caption="BKD WT"/>
    <pivotHierarchy dragToData="1" caption="BKD VOL"/>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B13A75F-7169-441B-B887-21B575C8F15E}" name="PivotTable2" cacheId="20" applyNumberFormats="0" applyBorderFormats="0" applyFontFormats="0" applyPatternFormats="0" applyAlignmentFormats="0" applyWidthHeightFormats="1" dataCaption="Values" tag="134eedbc-8e09-4dfc-9b74-60e3d962ae35" updatedVersion="6" minRefreshableVersion="3" useAutoFormatting="1" subtotalHiddenItems="1" rowGrandTotals="0" itemPrintTitles="1" createdVersion="5" indent="0" outline="1" outlineData="1" multipleFieldFilters="0" rowHeaderCaption="Flights">
  <location ref="A1:C62" firstHeaderRow="0" firstDataRow="1" firstDataCol="1"/>
  <pivotFields count="8">
    <pivotField axis="axisRow" allDrilled="1" subtotalTop="0" showAll="0" defaultSubtotal="0" defaultAttributeDrillState="1">
      <items count="5">
        <item x="0"/>
        <item x="4"/>
        <item x="1"/>
        <item x="3"/>
        <item x="2"/>
      </items>
    </pivotField>
    <pivotField axis="axisRow" allDrilled="1" subtotalTop="0" showAll="0" sortType="ascending" defaultSubtotal="0">
      <items count="56">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x="33" e="0"/>
        <item x="34" e="0"/>
        <item x="35" e="0"/>
        <item x="36" e="0"/>
        <item x="37" e="0"/>
        <item x="38" e="0"/>
        <item x="39" e="0"/>
        <item x="40" e="0"/>
        <item x="41" e="0"/>
        <item x="42" e="0"/>
        <item x="43" e="0"/>
        <item x="44" e="0"/>
        <item x="45" e="0"/>
        <item x="46" e="0"/>
        <item x="47" e="0"/>
        <item x="48" e="0"/>
        <item x="49" e="0"/>
        <item x="50" e="0"/>
        <item x="51" e="0"/>
        <item x="52" e="0"/>
        <item x="53" e="0"/>
        <item x="54" e="0"/>
        <item x="55" e="0"/>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3">
    <field x="0"/>
    <field x="1"/>
    <field x="2"/>
  </rowFields>
  <rowItems count="61">
    <i>
      <x/>
    </i>
    <i r="1">
      <x v="4"/>
    </i>
    <i r="1">
      <x v="5"/>
    </i>
    <i r="1">
      <x v="1"/>
    </i>
    <i r="1">
      <x v="6"/>
    </i>
    <i r="1">
      <x v="3"/>
    </i>
    <i r="1">
      <x v="7"/>
    </i>
    <i r="1">
      <x v="2"/>
    </i>
    <i r="1">
      <x v="8"/>
    </i>
    <i r="1">
      <x/>
    </i>
    <i r="1">
      <x v="9"/>
    </i>
    <i>
      <x v="1"/>
    </i>
    <i r="1">
      <x v="44"/>
    </i>
    <i r="1">
      <x v="46"/>
    </i>
    <i r="1">
      <x v="55"/>
    </i>
    <i r="1">
      <x v="49"/>
    </i>
    <i r="1">
      <x v="51"/>
    </i>
    <i r="1">
      <x v="52"/>
    </i>
    <i r="1">
      <x v="45"/>
    </i>
    <i r="1">
      <x v="53"/>
    </i>
    <i r="1">
      <x v="48"/>
    </i>
    <i r="1">
      <x v="54"/>
    </i>
    <i r="1">
      <x v="50"/>
    </i>
    <i r="1">
      <x v="47"/>
    </i>
    <i>
      <x v="2"/>
    </i>
    <i r="1">
      <x v="14"/>
    </i>
    <i r="1">
      <x v="15"/>
    </i>
    <i r="1">
      <x v="12"/>
    </i>
    <i r="1">
      <x v="19"/>
    </i>
    <i r="1">
      <x v="16"/>
    </i>
    <i r="1">
      <x v="10"/>
    </i>
    <i r="1">
      <x v="17"/>
    </i>
    <i r="1">
      <x v="13"/>
    </i>
    <i r="1">
      <x v="18"/>
    </i>
    <i r="1">
      <x v="11"/>
    </i>
    <i>
      <x v="3"/>
    </i>
    <i r="1">
      <x v="37"/>
    </i>
    <i r="1">
      <x v="36"/>
    </i>
    <i r="1">
      <x v="43"/>
    </i>
    <i r="1">
      <x v="38"/>
    </i>
    <i r="1">
      <x v="35"/>
    </i>
    <i r="1">
      <x v="41"/>
    </i>
    <i r="1">
      <x v="31"/>
    </i>
    <i r="1">
      <x v="40"/>
    </i>
    <i r="1">
      <x v="34"/>
    </i>
    <i r="1">
      <x v="39"/>
    </i>
    <i r="1">
      <x v="42"/>
    </i>
    <i r="1">
      <x v="33"/>
    </i>
    <i r="1">
      <x v="32"/>
    </i>
    <i>
      <x v="4"/>
    </i>
    <i r="1">
      <x v="25"/>
    </i>
    <i r="1">
      <x v="20"/>
    </i>
    <i r="1">
      <x v="26"/>
    </i>
    <i r="1">
      <x v="22"/>
    </i>
    <i r="1">
      <x v="27"/>
    </i>
    <i r="1">
      <x v="24"/>
    </i>
    <i r="1">
      <x v="28"/>
    </i>
    <i r="1">
      <x v="23"/>
    </i>
    <i r="1">
      <x v="29"/>
    </i>
    <i r="1">
      <x v="21"/>
    </i>
    <i r="1">
      <x v="30"/>
    </i>
  </rowItems>
  <colFields count="1">
    <field x="-2"/>
  </colFields>
  <colItems count="2">
    <i>
      <x/>
    </i>
    <i i="1">
      <x v="1"/>
    </i>
  </colItems>
  <dataFields count="2">
    <dataField name="CNX_PRIO" fld="5" subtotal="min" baseField="1" baseItem="0"/>
    <dataField name="CNX_FLT" fld="3" subtotal="count" baseField="0" baseItem="0"/>
  </dataFields>
  <formats count="5">
    <format dxfId="35">
      <pivotArea type="all" dataOnly="0" outline="0" fieldPosition="0"/>
    </format>
    <format dxfId="34">
      <pivotArea outline="0" collapsedLevelsAreSubtotals="1" fieldPosition="0"/>
    </format>
    <format dxfId="33">
      <pivotArea field="0" type="button" dataOnly="0" labelOnly="1" outline="0" axis="axisRow" fieldPosition="0"/>
    </format>
    <format dxfId="32">
      <pivotArea dataOnly="0" labelOnly="1" fieldPosition="0">
        <references count="1">
          <reference field="0" count="0"/>
        </references>
      </pivotArea>
    </format>
    <format dxfId="31">
      <pivotArea dataOnly="0" labelOnly="1" outline="0" fieldPosition="0">
        <references count="1">
          <reference field="4294967294" count="1">
            <x v="1"/>
          </reference>
        </references>
      </pivotArea>
    </format>
  </formats>
  <pivotHierarchies count="43">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data].[IMP AC TYPE].&amp;[359]"/>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a].[IMP FLT TYPE].&amp;[WB]"/>
      </members>
    </pivotHierarchy>
    <pivotHierarchy dragToRow="0" dragToCol="0" dragToPage="0" dragToData="1" caption="CNX_FLT"/>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NX_PRIO"/>
    <pivotHierarchy dragToData="1"/>
  </pivotHierarchies>
  <pivotTableStyleInfo name="PivotStyleLight16" showRowHeaders="1" showColHeaders="1" showRowStripes="0" showColStripes="0" showLastColumn="1"/>
  <rowHierarchiesUsage count="3">
    <rowHierarchyUsage hierarchyUsage="3"/>
    <rowHierarchyUsage hierarchyUsage="4"/>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3E4C605C-2711-4513-A7B7-6EFCBCFAA34A}" autoFormatId="16" applyNumberFormats="0" applyBorderFormats="0" applyFontFormats="0" applyPatternFormats="0" applyAlignmentFormats="0" applyWidthHeightFormats="0">
  <queryTableRefresh nextId="6">
    <queryTableFields count="5">
      <queryTableField id="1" name="In-Flight/Date" tableColumnId="1"/>
      <queryTableField id="2" name="ULD-ID" tableColumnId="2"/>
      <queryTableField id="3" name="SHC" tableColumnId="3"/>
      <queryTableField id="4" name="Status" tableColumnId="4"/>
      <queryTableField id="5" name="Origin"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0100-000000000000}" autoFormatId="16" applyNumberFormats="0" applyBorderFormats="0" applyFontFormats="0" applyPatternFormats="0" applyAlignmentFormats="0" applyWidthHeightFormats="0">
  <queryTableRefresh nextId="30">
    <queryTableFields count="28">
      <queryTableField id="1" name="SCH ARR TIME" tableColumnId="1"/>
      <queryTableField id="2" name="SCH ARR  DATE" tableColumnId="2"/>
      <queryTableField id="3" name="SCH ARR TIME2" tableColumnId="3"/>
      <queryTableField id="4" name="FLT NUM" tableColumnId="4"/>
      <queryTableField id="5" name="ULD ID" tableColumnId="5"/>
      <queryTableField id="6" name="AWB NUM" tableColumnId="6"/>
      <queryTableField id="7" name="Average of TIME_TO_ARR" tableColumnId="7"/>
      <queryTableField id="8" name="Average of TIME_TO_RCF" tableColumnId="8"/>
      <queryTableField id="9" name="IMP AC TYPE" tableColumnId="9"/>
      <queryTableField id="10" name="CNX TIME (24H DAY)" tableColumnId="10"/>
      <queryTableField id="11" name="CNX HH:MM" tableColumnId="11"/>
      <queryTableField id="12" name="ORIG" tableColumnId="12"/>
      <queryTableField id="13" name="DEST" tableColumnId="13"/>
      <queryTableField id="14" name="IMP LEG STS" tableColumnId="14"/>
      <queryTableField id="15" name="BKD SHP WT" tableColumnId="15"/>
      <queryTableField id="16" name="BKD SHP VOL" tableColumnId="16"/>
      <queryTableField id="17" name="BKD SHP PCS" tableColumnId="17"/>
      <queryTableField id="18" name="PROD TYPE" tableColumnId="18"/>
      <queryTableField id="19" name="LOAD PRIO" tableColumnId="19"/>
      <queryTableField id="20" name="CNX FLT" tableColumnId="20"/>
      <queryTableField id="21" name="EXP FLT TYPE" tableColumnId="21"/>
      <queryTableField id="22" name="SCH DEP TIME" tableColumnId="22"/>
      <queryTableField id="23" name="CNX MVT STS" tableColumnId="23"/>
      <queryTableField id="24" name="CNX_TIME" tableColumnId="24"/>
      <queryTableField id="25" name="CNX_PRIO" tableColumnId="25"/>
      <queryTableField id="26" name="THRU_UNIT" tableColumnId="26"/>
      <queryTableField id="27" name="LOAD_TYPE" tableColumnId="27"/>
      <queryTableField id="29" name="IMP FLT TYPE" tableColumnId="2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LT_NUM" xr10:uid="{C794A1B3-30AC-496B-9C1C-D151B4BCE8DF}" sourceName="[data].[FLT NUM]">
  <pivotTables>
    <pivotTable tabId="6" name="PivotTable2"/>
  </pivotTables>
  <data>
    <olap pivotCacheId="1015598991">
      <levels count="2">
        <level uniqueName="[data].[FLT NUM].[(All)]" sourceCaption="(All)" count="0"/>
        <level uniqueName="[data].[FLT NUM].[FLT NUM]" sourceCaption="FLT NUM" count="19">
          <ranges>
            <range startItem="0">
              <i n="[data].[FLT NUM].&amp;[AY0042]" c="AY0042"/>
              <i n="[data].[FLT NUM].&amp;[AY0072]" c="AY0072"/>
              <i n="[data].[FLT NUM].&amp;[AY0078]" c="AY0078"/>
              <i n="[data].[FLT NUM].&amp;[AY0088]" c="AY0088"/>
              <i n="[data].[FLT NUM].&amp;[AY0142]" c="AY0142"/>
              <i n="[data].[FLT NUM].&amp;[AY0438]" c="AY0438" nd="1"/>
              <i n="[data].[FLT NUM].&amp;[AY0808]" c="AY0808" nd="1"/>
              <i n="[data].[FLT NUM].&amp;[AY0956]" c="AY0956" nd="1"/>
              <i n="[data].[FLT NUM].&amp;[AY1306]" c="AY1306" nd="1"/>
              <i n="[data].[FLT NUM].&amp;[AY1332]" c="AY1332" nd="1"/>
              <i n="[data].[FLT NUM].&amp;[AY1338]" c="AY1338" nd="1"/>
              <i n="[data].[FLT NUM].&amp;[AY1512]" c="AY1512" nd="1"/>
              <i n="[data].[FLT NUM].&amp;[AY1578]" c="AY1578" nd="1"/>
              <i n="[data].[FLT NUM].&amp;[AY1762]" c="AY1762" nd="1"/>
              <i n="[data].[FLT NUM].&amp;[AY9094H]" c="AY9094H" nd="1"/>
              <i n="[data].[FLT NUM].&amp;[AY9096B]" c="AY9096B" nd="1"/>
              <i n="[data].[FLT NUM].&amp;[AY9282]" c="AY9282" nd="1"/>
              <i n="[data].[FLT NUM].&amp;[AY9288]" c="AY9288" nd="1"/>
              <i n="[data].[FLT NUM].&amp;[AY9294]" c="AY9294" nd="1"/>
            </range>
          </ranges>
        </level>
      </levels>
      <selections count="1">
        <selection n="[data].[FLT NUM].[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NX_FLT" xr10:uid="{DF024ACF-B637-4075-8FE0-A959D3BC92F8}" sourceName="[data].[CNX FLT]">
  <pivotTables>
    <pivotTable tabId="6" name="PivotTable2"/>
  </pivotTables>
  <data>
    <olap pivotCacheId="1015598991">
      <levels count="2">
        <level uniqueName="[data].[CNX FLT].[(All)]" sourceCaption="(All)" count="0"/>
        <level uniqueName="[data].[CNX FLT].[CNX FLT]" sourceCaption="CNX FLT" count="24">
          <ranges>
            <range startItem="0">
              <i n="[data].[CNX FLT].&amp;[AY0015]" c="AY0015"/>
              <i n="[data].[CNX FLT].&amp;[AY0863]" c="AY0863"/>
              <i n="[data].[CNX FLT].&amp;[AY0867]" c="AY0867"/>
              <i n="[data].[CNX FLT].&amp;[AY1337]" c="AY1337"/>
              <i n="[data].[CNX FLT].&amp;[AY1405]" c="AY1405"/>
              <i n="[data].[CNX FLT].&amp;[AY1415]" c="AY1415"/>
              <i n="[data].[CNX FLT].&amp;[AY1425]" c="AY1425"/>
              <i n="[data].[CNX FLT].&amp;[AY8875]" c="AY8875"/>
              <i n="[data].[CNX FLT].&amp;[AY9063]" c="AY9063"/>
              <i n="[data].[CNX FLT].&amp;[AY9069]" c="AY9069"/>
              <i n="[data].[CNX FLT].&amp;[AY9079]" c="AY9079"/>
              <i n="[data].[CNX FLT].&amp;[AY9095]" c="AY9095"/>
              <i n="[data].[CNX FLT].&amp;[AY9301]" c="AY9301"/>
              <i n="[data].[CNX FLT].&amp;[AY9315Y]" c="AY9315Y"/>
              <i n="[data].[CNX FLT].&amp;[HEL]" c="HEL"/>
              <i n="[data].[CNX FLT].&amp;[AY0041]" c="AY0041" nd="1"/>
              <i n="[data].[CNX FLT].&amp;[AY0071]" c="AY0071" nd="1"/>
              <i n="[data].[CNX FLT].&amp;[AY0073]" c="AY0073" nd="1"/>
              <i n="[data].[CNX FLT].&amp;[AY0077]" c="AY0077" nd="1"/>
              <i n="[data].[CNX FLT].&amp;[AY0087]" c="AY0087" nd="1"/>
              <i n="[data].[CNX FLT].&amp;[AY0101]" c="AY0101" nd="1"/>
              <i n="[data].[CNX FLT].&amp;[AY0915]" c="AY0915" nd="1"/>
              <i n="[data].[CNX FLT].&amp;[AY1035]" c="AY1035" nd="1"/>
              <i n="[data].[CNX FLT].&amp;[AY1511]" c="AY1511" nd="1"/>
            </range>
          </ranges>
        </level>
      </levels>
      <selections count="1">
        <selection n="[data].[CNX FL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MP_FLT_TYPE" xr10:uid="{CAA3CAE5-96E4-4589-95DC-3D3D33697884}" sourceName="[data].[IMP FLT TYPE]">
  <pivotTables>
    <pivotTable tabId="6" name="PivotTable2"/>
  </pivotTables>
  <data>
    <olap pivotCacheId="1015598991">
      <levels count="2">
        <level uniqueName="[data].[IMP FLT TYPE].[(All)]" sourceCaption="(All)" count="0"/>
        <level uniqueName="[data].[IMP FLT TYPE].[IMP FLT TYPE]" sourceCaption="IMP FLT TYPE" count="3">
          <ranges>
            <range startItem="0">
              <i n="[data].[IMP FLT TYPE].&amp;[NB]" c="NB"/>
              <i n="[data].[IMP FLT TYPE].&amp;[RFS]" c="RFS"/>
              <i n="[data].[IMP FLT TYPE].&amp;[WB]" c="WB"/>
            </range>
          </ranges>
        </level>
      </levels>
      <selections count="1">
        <selection n="[data].[IMP FLT TYPE].&amp;[WB]"/>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LT NUM" xr10:uid="{02964505-5B1A-45DA-8CDF-79419A502B81}" cache="Slicer_FLT_NUM" caption="IMP FLT NUM" columnCount="2" level="1" rowHeight="241300"/>
  <slicer name="CNX FLT" xr10:uid="{D2A6BC0F-A03E-4808-B2CA-7453FCB10DE8}" cache="Slicer_CNX_FLT" caption="Connection Flights" columnCount="3" level="1" rowHeight="241300"/>
  <slicer name="IMP FLT TYPE" xr10:uid="{8CE27E71-EBAF-45FF-BE04-87E10A463185}" cache="Slicer_IMP_FLT_TYPE" caption="IMP FLT TYPE"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87A882C-6EE4-4AA4-8336-736B3C373A22}" name="Sheet0" displayName="Sheet0" ref="A1:E91" tableType="queryTable" totalsRowShown="0">
  <autoFilter ref="A1:E91" xr:uid="{1B9D8B8A-5D74-462B-90A8-5515AD4DC48A}"/>
  <tableColumns count="5">
    <tableColumn id="1" xr3:uid="{553BDEE0-FA64-42FD-A614-6822A6E4AA9C}" uniqueName="1" name="In-Flight/Date" queryTableFieldId="1" dataDxfId="22"/>
    <tableColumn id="2" xr3:uid="{9545B1DA-3CBB-4889-B540-B1D335D25CB2}" uniqueName="2" name="ULD-ID" queryTableFieldId="2" dataDxfId="21"/>
    <tableColumn id="3" xr3:uid="{7EB4D022-AD63-49CE-855F-D9109BAB2651}" uniqueName="3" name="SHC" queryTableFieldId="3" dataDxfId="20"/>
    <tableColumn id="4" xr3:uid="{FC5DAE93-A734-45BF-AFD2-14E953A6B827}" uniqueName="4" name="Status" queryTableFieldId="4" dataDxfId="19"/>
    <tableColumn id="5" xr3:uid="{5D6C80E4-0932-4A90-9883-8FA14ACD1EEA}" uniqueName="5" name="Origin" queryTableFieldId="5" dataDxf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ta" displayName="data" ref="A1:AB72" tableType="queryTable" totalsRowShown="0">
  <autoFilter ref="A1:AB72" xr:uid="{00000000-0009-0000-0100-000001000000}"/>
  <tableColumns count="28">
    <tableColumn id="1" xr3:uid="{00000000-0010-0000-0000-000001000000}" uniqueName="1" name="SCH ARR TIME" queryTableFieldId="1" dataDxfId="17"/>
    <tableColumn id="2" xr3:uid="{00000000-0010-0000-0000-000002000000}" uniqueName="2" name="SCH ARR  DATE" queryTableFieldId="2" dataDxfId="16"/>
    <tableColumn id="3" xr3:uid="{00000000-0010-0000-0000-000003000000}" uniqueName="3" name="SCH ARR TIME2" queryTableFieldId="3" dataDxfId="15"/>
    <tableColumn id="4" xr3:uid="{00000000-0010-0000-0000-000004000000}" uniqueName="4" name="FLT NUM" queryTableFieldId="4" dataDxfId="14"/>
    <tableColumn id="5" xr3:uid="{00000000-0010-0000-0000-000005000000}" uniqueName="5" name="ULD ID" queryTableFieldId="5" dataDxfId="13"/>
    <tableColumn id="6" xr3:uid="{00000000-0010-0000-0000-000006000000}" uniqueName="6" name="AWB NUM" queryTableFieldId="6"/>
    <tableColumn id="7" xr3:uid="{00000000-0010-0000-0000-000007000000}" uniqueName="7" name="Average of TIME_TO_ARR" queryTableFieldId="7"/>
    <tableColumn id="8" xr3:uid="{00000000-0010-0000-0000-000008000000}" uniqueName="8" name="Average of TIME_TO_RCF" queryTableFieldId="8"/>
    <tableColumn id="9" xr3:uid="{00000000-0010-0000-0000-000009000000}" uniqueName="9" name="IMP AC TYPE" queryTableFieldId="9" dataDxfId="12"/>
    <tableColumn id="10" xr3:uid="{00000000-0010-0000-0000-00000A000000}" uniqueName="10" name="CNX TIME (24H DAY)" queryTableFieldId="10" dataDxfId="11"/>
    <tableColumn id="11" xr3:uid="{00000000-0010-0000-0000-00000B000000}" uniqueName="11" name="CNX HH:MM" queryTableFieldId="11" dataDxfId="10"/>
    <tableColumn id="12" xr3:uid="{00000000-0010-0000-0000-00000C000000}" uniqueName="12" name="ORIG" queryTableFieldId="12" dataDxfId="9"/>
    <tableColumn id="13" xr3:uid="{00000000-0010-0000-0000-00000D000000}" uniqueName="13" name="DEST" queryTableFieldId="13" dataDxfId="8"/>
    <tableColumn id="14" xr3:uid="{00000000-0010-0000-0000-00000E000000}" uniqueName="14" name="IMP LEG STS" queryTableFieldId="14" dataDxfId="7"/>
    <tableColumn id="15" xr3:uid="{00000000-0010-0000-0000-00000F000000}" uniqueName="15" name="BKD SHP WT" queryTableFieldId="15"/>
    <tableColumn id="16" xr3:uid="{00000000-0010-0000-0000-000010000000}" uniqueName="16" name="BKD SHP VOL" queryTableFieldId="16"/>
    <tableColumn id="17" xr3:uid="{00000000-0010-0000-0000-000011000000}" uniqueName="17" name="BKD SHP PCS" queryTableFieldId="17"/>
    <tableColumn id="18" xr3:uid="{00000000-0010-0000-0000-000012000000}" uniqueName="18" name="PROD TYPE" queryTableFieldId="18" dataDxfId="6"/>
    <tableColumn id="19" xr3:uid="{00000000-0010-0000-0000-000013000000}" uniqueName="19" name="LOAD PRIO" queryTableFieldId="19" dataDxfId="5"/>
    <tableColumn id="20" xr3:uid="{00000000-0010-0000-0000-000014000000}" uniqueName="20" name="CNX FLT" queryTableFieldId="20" dataDxfId="4"/>
    <tableColumn id="21" xr3:uid="{00000000-0010-0000-0000-000015000000}" uniqueName="21" name="EXP FLT TYPE" queryTableFieldId="21" dataDxfId="3"/>
    <tableColumn id="22" xr3:uid="{00000000-0010-0000-0000-000016000000}" uniqueName="22" name="SCH DEP TIME" queryTableFieldId="22" dataDxfId="2"/>
    <tableColumn id="23" xr3:uid="{00000000-0010-0000-0000-000017000000}" uniqueName="23" name="CNX MVT STS" queryTableFieldId="23" dataDxfId="1"/>
    <tableColumn id="24" xr3:uid="{00000000-0010-0000-0000-000018000000}" uniqueName="24" name="CNX_TIME" queryTableFieldId="24" dataDxfId="0"/>
    <tableColumn id="25" xr3:uid="{00000000-0010-0000-0000-000019000000}" uniqueName="25" name="CNX_PRIO" queryTableFieldId="25"/>
    <tableColumn id="26" xr3:uid="{00000000-0010-0000-0000-00001A000000}" uniqueName="26" name="THRU_UNIT" queryTableFieldId="26"/>
    <tableColumn id="27" xr3:uid="{F527782E-1976-4DFD-BFB6-F72B6D8A473D}" uniqueName="27" name="LOAD_TYPE" queryTableFieldId="27"/>
    <tableColumn id="29" xr3:uid="{759966F7-475E-4410-8A64-6926CEDE5C57}" uniqueName="29" name="IMP FLT TYPE" queryTableFieldId="2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J130"/>
  <sheetViews>
    <sheetView zoomScale="90" zoomScaleNormal="90" workbookViewId="0">
      <selection activeCell="A27" sqref="A27"/>
    </sheetView>
  </sheetViews>
  <sheetFormatPr defaultRowHeight="14.4" x14ac:dyDescent="0.3"/>
  <cols>
    <col min="1" max="1" width="17.5546875" style="10" bestFit="1" customWidth="1"/>
    <col min="2" max="2" width="10.109375" style="10" bestFit="1" customWidth="1"/>
    <col min="3" max="3" width="9" style="10" bestFit="1" customWidth="1"/>
    <col min="4" max="4" width="12.44140625" bestFit="1" customWidth="1"/>
    <col min="5" max="5" width="9" style="10" bestFit="1" customWidth="1"/>
    <col min="6" max="6" width="8.5546875" style="10" bestFit="1" customWidth="1"/>
    <col min="7" max="7" width="8.21875" style="10" bestFit="1" customWidth="1"/>
    <col min="8" max="8" width="8.88671875" style="10" bestFit="1" customWidth="1"/>
    <col min="9" max="9" width="255.5546875" style="10" bestFit="1" customWidth="1"/>
    <col min="10" max="10" width="8.88671875" style="10" bestFit="1" customWidth="1"/>
    <col min="18" max="18" width="11.5546875" bestFit="1" customWidth="1"/>
    <col min="19" max="19" width="12.5546875" bestFit="1" customWidth="1"/>
    <col min="20" max="20" width="5" bestFit="1" customWidth="1"/>
    <col min="21" max="21" width="4.44140625" bestFit="1" customWidth="1"/>
    <col min="22" max="22" width="5.5546875" bestFit="1" customWidth="1"/>
    <col min="23" max="23" width="4.5546875" bestFit="1" customWidth="1"/>
  </cols>
  <sheetData>
    <row r="1" spans="1:3" x14ac:dyDescent="0.3">
      <c r="A1" s="11" t="s">
        <v>37</v>
      </c>
      <c r="B1" s="10" t="s">
        <v>17</v>
      </c>
      <c r="C1" s="10" t="s">
        <v>39</v>
      </c>
    </row>
    <row r="2" spans="1:3" x14ac:dyDescent="0.3">
      <c r="A2" s="10" t="s">
        <v>123</v>
      </c>
      <c r="B2" s="13"/>
      <c r="C2" s="13"/>
    </row>
    <row r="3" spans="1:3" x14ac:dyDescent="0.3">
      <c r="A3" s="10" t="s">
        <v>290</v>
      </c>
      <c r="B3" s="13">
        <v>4</v>
      </c>
      <c r="C3" s="13" t="s">
        <v>74</v>
      </c>
    </row>
    <row r="4" spans="1:3" x14ac:dyDescent="0.3">
      <c r="A4" s="10" t="s">
        <v>291</v>
      </c>
      <c r="B4" s="13">
        <v>4</v>
      </c>
      <c r="C4" s="13" t="s">
        <v>294</v>
      </c>
    </row>
    <row r="5" spans="1:3" x14ac:dyDescent="0.3">
      <c r="A5" s="10" t="s">
        <v>287</v>
      </c>
      <c r="B5" s="13">
        <v>4</v>
      </c>
      <c r="C5" s="13" t="s">
        <v>74</v>
      </c>
    </row>
    <row r="6" spans="1:3" x14ac:dyDescent="0.3">
      <c r="A6" s="10" t="s">
        <v>295</v>
      </c>
      <c r="B6" s="13">
        <v>4</v>
      </c>
      <c r="C6" s="13" t="s">
        <v>296</v>
      </c>
    </row>
    <row r="7" spans="1:3" x14ac:dyDescent="0.3">
      <c r="A7" s="10" t="s">
        <v>289</v>
      </c>
      <c r="B7" s="13">
        <v>4</v>
      </c>
      <c r="C7" s="13" t="s">
        <v>74</v>
      </c>
    </row>
    <row r="8" spans="1:3" x14ac:dyDescent="0.3">
      <c r="A8" s="10" t="s">
        <v>297</v>
      </c>
      <c r="B8" s="13">
        <v>4</v>
      </c>
      <c r="C8" s="13" t="s">
        <v>84</v>
      </c>
    </row>
    <row r="9" spans="1:3" x14ac:dyDescent="0.3">
      <c r="A9" s="10" t="s">
        <v>288</v>
      </c>
      <c r="B9" s="13">
        <v>4</v>
      </c>
      <c r="C9" s="13" t="s">
        <v>92</v>
      </c>
    </row>
    <row r="10" spans="1:3" x14ac:dyDescent="0.3">
      <c r="A10" s="10" t="s">
        <v>298</v>
      </c>
      <c r="B10" s="13">
        <v>4</v>
      </c>
      <c r="C10" s="13" t="s">
        <v>117</v>
      </c>
    </row>
    <row r="11" spans="1:3" x14ac:dyDescent="0.3">
      <c r="A11" s="10" t="s">
        <v>284</v>
      </c>
      <c r="B11" s="13">
        <v>4</v>
      </c>
      <c r="C11" s="13" t="s">
        <v>286</v>
      </c>
    </row>
    <row r="12" spans="1:3" x14ac:dyDescent="0.3">
      <c r="A12" s="10" t="s">
        <v>299</v>
      </c>
      <c r="B12" s="13">
        <v>4</v>
      </c>
      <c r="C12" s="13" t="s">
        <v>300</v>
      </c>
    </row>
    <row r="13" spans="1:3" x14ac:dyDescent="0.3">
      <c r="A13" s="10" t="s">
        <v>124</v>
      </c>
      <c r="B13" s="13"/>
      <c r="C13" s="13"/>
    </row>
    <row r="14" spans="1:3" x14ac:dyDescent="0.3">
      <c r="A14" s="10" t="s">
        <v>266</v>
      </c>
      <c r="B14" s="13">
        <v>0</v>
      </c>
      <c r="C14" s="13" t="s">
        <v>54</v>
      </c>
    </row>
    <row r="15" spans="1:3" x14ac:dyDescent="0.3">
      <c r="A15" s="10" t="s">
        <v>271</v>
      </c>
      <c r="B15" s="13">
        <v>2</v>
      </c>
      <c r="C15" s="13" t="s">
        <v>294</v>
      </c>
    </row>
    <row r="16" spans="1:3" x14ac:dyDescent="0.3">
      <c r="A16" s="10" t="s">
        <v>269</v>
      </c>
      <c r="B16" s="13">
        <v>2</v>
      </c>
      <c r="C16" s="13" t="s">
        <v>294</v>
      </c>
    </row>
    <row r="17" spans="1:10" x14ac:dyDescent="0.3">
      <c r="A17" s="10" t="s">
        <v>267</v>
      </c>
      <c r="B17" s="13">
        <v>4</v>
      </c>
      <c r="C17" s="13" t="s">
        <v>294</v>
      </c>
    </row>
    <row r="18" spans="1:10" x14ac:dyDescent="0.3">
      <c r="A18" s="10" t="s">
        <v>262</v>
      </c>
      <c r="B18" s="13">
        <v>4</v>
      </c>
      <c r="C18" s="13" t="s">
        <v>294</v>
      </c>
    </row>
    <row r="19" spans="1:10" x14ac:dyDescent="0.3">
      <c r="A19" s="10" t="s">
        <v>264</v>
      </c>
      <c r="B19" s="13">
        <v>4</v>
      </c>
      <c r="C19" s="13" t="s">
        <v>104</v>
      </c>
    </row>
    <row r="20" spans="1:10" x14ac:dyDescent="0.3">
      <c r="A20" s="10" t="s">
        <v>344</v>
      </c>
      <c r="B20" s="13">
        <v>4</v>
      </c>
      <c r="C20" s="13" t="s">
        <v>92</v>
      </c>
      <c r="D20" s="11" t="s">
        <v>38</v>
      </c>
      <c r="E20" s="10" t="s" vm="1">
        <v>49</v>
      </c>
    </row>
    <row r="21" spans="1:10" x14ac:dyDescent="0.3">
      <c r="A21" s="10" t="s">
        <v>265</v>
      </c>
      <c r="B21" s="13">
        <v>4</v>
      </c>
      <c r="C21" s="13" t="s">
        <v>294</v>
      </c>
    </row>
    <row r="22" spans="1:10" x14ac:dyDescent="0.3">
      <c r="A22" s="10" t="s">
        <v>270</v>
      </c>
      <c r="B22" s="13">
        <v>4</v>
      </c>
      <c r="C22" s="13" t="s">
        <v>294</v>
      </c>
      <c r="D22" s="11" t="s">
        <v>71</v>
      </c>
      <c r="E22" s="10" t="s">
        <v>36</v>
      </c>
      <c r="F22" s="10" t="s">
        <v>61</v>
      </c>
      <c r="G22" s="10" t="s">
        <v>62</v>
      </c>
      <c r="H22" s="10" t="s">
        <v>63</v>
      </c>
      <c r="I22"/>
      <c r="J22"/>
    </row>
    <row r="23" spans="1:10" x14ac:dyDescent="0.3">
      <c r="A23" s="10" t="s">
        <v>268</v>
      </c>
      <c r="B23" s="13">
        <v>4</v>
      </c>
      <c r="C23" s="13" t="s">
        <v>346</v>
      </c>
      <c r="D23" s="10" t="s">
        <v>123</v>
      </c>
      <c r="E23" s="13">
        <v>10</v>
      </c>
      <c r="F23" s="13">
        <v>202</v>
      </c>
      <c r="G23" s="27">
        <v>13830</v>
      </c>
      <c r="H23" s="25">
        <v>65.402434</v>
      </c>
      <c r="I23"/>
      <c r="J23"/>
    </row>
    <row r="24" spans="1:10" x14ac:dyDescent="0.3">
      <c r="A24" s="10" t="s">
        <v>263</v>
      </c>
      <c r="B24" s="13">
        <v>4</v>
      </c>
      <c r="C24" s="13" t="s">
        <v>92</v>
      </c>
      <c r="D24" s="10" t="s">
        <v>134</v>
      </c>
      <c r="E24" s="13">
        <v>10</v>
      </c>
      <c r="F24" s="13">
        <v>201</v>
      </c>
      <c r="G24" s="27">
        <v>12950.400000000001</v>
      </c>
      <c r="H24" s="25">
        <v>73.958998999999991</v>
      </c>
      <c r="I24"/>
      <c r="J24"/>
    </row>
    <row r="25" spans="1:10" x14ac:dyDescent="0.3">
      <c r="A25" s="10" t="s">
        <v>272</v>
      </c>
      <c r="B25" s="13">
        <v>4</v>
      </c>
      <c r="C25" s="13" t="s">
        <v>294</v>
      </c>
      <c r="D25" s="10" t="s">
        <v>147</v>
      </c>
      <c r="E25" s="13">
        <v>11</v>
      </c>
      <c r="F25" s="13">
        <v>132</v>
      </c>
      <c r="G25" s="27">
        <v>25943.9</v>
      </c>
      <c r="H25" s="25">
        <v>101.346003</v>
      </c>
      <c r="I25"/>
      <c r="J25"/>
    </row>
    <row r="26" spans="1:10" x14ac:dyDescent="0.3">
      <c r="A26" s="10" t="s">
        <v>134</v>
      </c>
      <c r="B26" s="13"/>
      <c r="C26" s="13"/>
      <c r="D26" s="10" t="s">
        <v>135</v>
      </c>
      <c r="E26" s="13">
        <v>11</v>
      </c>
      <c r="F26" s="13">
        <v>1780</v>
      </c>
      <c r="G26" s="27">
        <v>37820.6</v>
      </c>
      <c r="H26" s="25">
        <v>192.60784199999998</v>
      </c>
      <c r="I26"/>
      <c r="J26"/>
    </row>
    <row r="27" spans="1:10" x14ac:dyDescent="0.3">
      <c r="A27" s="10" t="s">
        <v>308</v>
      </c>
      <c r="B27" s="13">
        <v>0</v>
      </c>
      <c r="C27" s="13" t="s">
        <v>54</v>
      </c>
      <c r="D27" s="10" t="s">
        <v>124</v>
      </c>
      <c r="E27" s="13">
        <v>12</v>
      </c>
      <c r="F27" s="13">
        <v>769</v>
      </c>
      <c r="G27" s="27">
        <v>24581</v>
      </c>
      <c r="H27" s="25">
        <v>103.298339</v>
      </c>
      <c r="I27"/>
      <c r="J27"/>
    </row>
    <row r="28" spans="1:10" x14ac:dyDescent="0.3">
      <c r="A28" s="10" t="s">
        <v>309</v>
      </c>
      <c r="B28" s="13">
        <v>0</v>
      </c>
      <c r="C28" s="13" t="s">
        <v>302</v>
      </c>
      <c r="D28" s="10" t="s">
        <v>60</v>
      </c>
      <c r="E28" s="13">
        <v>54</v>
      </c>
      <c r="F28" s="13">
        <v>3084</v>
      </c>
      <c r="G28" s="27">
        <v>115125.90000000001</v>
      </c>
      <c r="H28" s="25">
        <v>536.61361700000009</v>
      </c>
      <c r="I28"/>
    </row>
    <row r="29" spans="1:10" x14ac:dyDescent="0.3">
      <c r="A29" s="10" t="s">
        <v>306</v>
      </c>
      <c r="B29" s="13">
        <v>0</v>
      </c>
      <c r="C29" s="13" t="s">
        <v>302</v>
      </c>
      <c r="E29"/>
      <c r="F29"/>
      <c r="G29"/>
      <c r="H29"/>
      <c r="I29"/>
    </row>
    <row r="30" spans="1:10" x14ac:dyDescent="0.3">
      <c r="A30" s="10" t="s">
        <v>313</v>
      </c>
      <c r="B30" s="13">
        <v>0</v>
      </c>
      <c r="C30" s="13" t="s">
        <v>302</v>
      </c>
      <c r="E30"/>
      <c r="F30"/>
      <c r="G30"/>
      <c r="H30"/>
    </row>
    <row r="31" spans="1:10" x14ac:dyDescent="0.3">
      <c r="A31" s="10" t="s">
        <v>310</v>
      </c>
      <c r="B31" s="13">
        <v>0</v>
      </c>
      <c r="C31" s="13" t="s">
        <v>54</v>
      </c>
      <c r="E31"/>
      <c r="F31"/>
      <c r="G31"/>
      <c r="H31"/>
    </row>
    <row r="32" spans="1:10" x14ac:dyDescent="0.3">
      <c r="A32" s="10" t="s">
        <v>301</v>
      </c>
      <c r="B32" s="13">
        <v>0</v>
      </c>
      <c r="C32" s="13" t="s">
        <v>302</v>
      </c>
      <c r="E32"/>
      <c r="F32"/>
      <c r="G32"/>
      <c r="H32"/>
    </row>
    <row r="33" spans="1:3" x14ac:dyDescent="0.3">
      <c r="A33" s="10" t="s">
        <v>311</v>
      </c>
      <c r="B33" s="13">
        <v>0</v>
      </c>
      <c r="C33" s="13" t="s">
        <v>54</v>
      </c>
    </row>
    <row r="34" spans="1:3" x14ac:dyDescent="0.3">
      <c r="A34" s="10" t="s">
        <v>307</v>
      </c>
      <c r="B34" s="13">
        <v>0</v>
      </c>
      <c r="C34" s="13" t="s">
        <v>54</v>
      </c>
    </row>
    <row r="35" spans="1:3" x14ac:dyDescent="0.3">
      <c r="A35" s="10" t="s">
        <v>312</v>
      </c>
      <c r="B35" s="13">
        <v>0</v>
      </c>
      <c r="C35" s="13" t="s">
        <v>302</v>
      </c>
    </row>
    <row r="36" spans="1:3" x14ac:dyDescent="0.3">
      <c r="A36" s="10" t="s">
        <v>303</v>
      </c>
      <c r="B36" s="13">
        <v>3</v>
      </c>
      <c r="C36" s="13" t="s">
        <v>305</v>
      </c>
    </row>
    <row r="37" spans="1:3" x14ac:dyDescent="0.3">
      <c r="A37" s="10" t="s">
        <v>135</v>
      </c>
      <c r="B37" s="13"/>
      <c r="C37" s="13"/>
    </row>
    <row r="38" spans="1:3" x14ac:dyDescent="0.3">
      <c r="A38" s="10" t="s">
        <v>321</v>
      </c>
      <c r="B38" s="13">
        <v>3</v>
      </c>
      <c r="C38" s="13" t="s">
        <v>104</v>
      </c>
    </row>
    <row r="39" spans="1:3" x14ac:dyDescent="0.3">
      <c r="A39" s="10" t="s">
        <v>320</v>
      </c>
      <c r="B39" s="13">
        <v>3</v>
      </c>
      <c r="C39" s="13" t="s">
        <v>74</v>
      </c>
    </row>
    <row r="40" spans="1:3" x14ac:dyDescent="0.3">
      <c r="A40" s="10" t="s">
        <v>327</v>
      </c>
      <c r="B40" s="13">
        <v>3</v>
      </c>
      <c r="C40" s="13" t="s">
        <v>74</v>
      </c>
    </row>
    <row r="41" spans="1:3" x14ac:dyDescent="0.3">
      <c r="A41" s="10" t="s">
        <v>322</v>
      </c>
      <c r="B41" s="13">
        <v>3</v>
      </c>
      <c r="C41" s="13" t="s">
        <v>104</v>
      </c>
    </row>
    <row r="42" spans="1:3" x14ac:dyDescent="0.3">
      <c r="A42" s="10" t="s">
        <v>318</v>
      </c>
      <c r="B42" s="13">
        <v>3</v>
      </c>
      <c r="C42" s="13" t="s">
        <v>104</v>
      </c>
    </row>
    <row r="43" spans="1:3" x14ac:dyDescent="0.3">
      <c r="A43" s="10" t="s">
        <v>325</v>
      </c>
      <c r="B43" s="13">
        <v>3</v>
      </c>
      <c r="C43" s="13" t="s">
        <v>149</v>
      </c>
    </row>
    <row r="44" spans="1:3" x14ac:dyDescent="0.3">
      <c r="A44" s="10" t="s">
        <v>314</v>
      </c>
      <c r="B44" s="13">
        <v>4</v>
      </c>
      <c r="C44" s="13" t="s">
        <v>84</v>
      </c>
    </row>
    <row r="45" spans="1:3" x14ac:dyDescent="0.3">
      <c r="A45" s="10" t="s">
        <v>324</v>
      </c>
      <c r="B45" s="13">
        <v>4</v>
      </c>
      <c r="C45" s="13" t="s">
        <v>104</v>
      </c>
    </row>
    <row r="46" spans="1:3" x14ac:dyDescent="0.3">
      <c r="A46" s="10" t="s">
        <v>317</v>
      </c>
      <c r="B46" s="13">
        <v>4</v>
      </c>
      <c r="C46" s="13" t="s">
        <v>104</v>
      </c>
    </row>
    <row r="47" spans="1:3" x14ac:dyDescent="0.3">
      <c r="A47" s="10" t="s">
        <v>323</v>
      </c>
      <c r="B47" s="13">
        <v>4</v>
      </c>
      <c r="C47" s="13" t="s">
        <v>84</v>
      </c>
    </row>
    <row r="48" spans="1:3" x14ac:dyDescent="0.3">
      <c r="A48" s="10" t="s">
        <v>326</v>
      </c>
      <c r="B48" s="13">
        <v>4</v>
      </c>
      <c r="C48" s="13" t="s">
        <v>74</v>
      </c>
    </row>
    <row r="49" spans="1:3" x14ac:dyDescent="0.3">
      <c r="A49" s="10" t="s">
        <v>316</v>
      </c>
      <c r="B49" s="13">
        <v>4</v>
      </c>
      <c r="C49" s="13" t="s">
        <v>104</v>
      </c>
    </row>
    <row r="50" spans="1:3" x14ac:dyDescent="0.3">
      <c r="A50" s="10" t="s">
        <v>315</v>
      </c>
      <c r="B50" s="13">
        <v>4</v>
      </c>
      <c r="C50" s="13" t="s">
        <v>117</v>
      </c>
    </row>
    <row r="51" spans="1:3" x14ac:dyDescent="0.3">
      <c r="A51" s="10" t="s">
        <v>147</v>
      </c>
      <c r="B51" s="13"/>
      <c r="C51" s="13"/>
    </row>
    <row r="52" spans="1:3" x14ac:dyDescent="0.3">
      <c r="A52" s="10" t="s">
        <v>335</v>
      </c>
      <c r="B52" s="13">
        <v>0</v>
      </c>
      <c r="C52" s="13" t="s">
        <v>330</v>
      </c>
    </row>
    <row r="53" spans="1:3" x14ac:dyDescent="0.3">
      <c r="A53" s="10" t="s">
        <v>328</v>
      </c>
      <c r="B53" s="13">
        <v>0</v>
      </c>
      <c r="C53" s="13" t="s">
        <v>330</v>
      </c>
    </row>
    <row r="54" spans="1:3" x14ac:dyDescent="0.3">
      <c r="A54" s="10" t="s">
        <v>336</v>
      </c>
      <c r="B54" s="13">
        <v>0</v>
      </c>
      <c r="C54" s="13" t="s">
        <v>330</v>
      </c>
    </row>
    <row r="55" spans="1:3" x14ac:dyDescent="0.3">
      <c r="A55" s="10" t="s">
        <v>332</v>
      </c>
      <c r="B55" s="13">
        <v>0</v>
      </c>
      <c r="C55" s="13" t="s">
        <v>330</v>
      </c>
    </row>
    <row r="56" spans="1:3" x14ac:dyDescent="0.3">
      <c r="A56" s="10" t="s">
        <v>337</v>
      </c>
      <c r="B56" s="13">
        <v>0</v>
      </c>
      <c r="C56" s="13" t="s">
        <v>330</v>
      </c>
    </row>
    <row r="57" spans="1:3" x14ac:dyDescent="0.3">
      <c r="A57" s="10" t="s">
        <v>334</v>
      </c>
      <c r="B57" s="13">
        <v>0</v>
      </c>
      <c r="C57" s="13" t="s">
        <v>330</v>
      </c>
    </row>
    <row r="58" spans="1:3" x14ac:dyDescent="0.3">
      <c r="A58" s="10" t="s">
        <v>338</v>
      </c>
      <c r="B58" s="13">
        <v>0</v>
      </c>
      <c r="C58" s="13" t="s">
        <v>330</v>
      </c>
    </row>
    <row r="59" spans="1:3" x14ac:dyDescent="0.3">
      <c r="A59" s="10" t="s">
        <v>333</v>
      </c>
      <c r="B59" s="13">
        <v>0</v>
      </c>
      <c r="C59" s="13" t="s">
        <v>330</v>
      </c>
    </row>
    <row r="60" spans="1:3" x14ac:dyDescent="0.3">
      <c r="A60" s="10" t="s">
        <v>339</v>
      </c>
      <c r="B60" s="13">
        <v>0</v>
      </c>
      <c r="C60" s="13" t="s">
        <v>330</v>
      </c>
    </row>
    <row r="61" spans="1:3" x14ac:dyDescent="0.3">
      <c r="A61" s="10" t="s">
        <v>331</v>
      </c>
      <c r="B61" s="13">
        <v>0</v>
      </c>
      <c r="C61" s="13" t="s">
        <v>330</v>
      </c>
    </row>
    <row r="62" spans="1:3" x14ac:dyDescent="0.3">
      <c r="A62" s="10" t="s">
        <v>340</v>
      </c>
      <c r="B62" s="13">
        <v>0</v>
      </c>
      <c r="C62" s="13" t="s">
        <v>330</v>
      </c>
    </row>
    <row r="63" spans="1:3" x14ac:dyDescent="0.3">
      <c r="A63"/>
      <c r="B63"/>
      <c r="C63"/>
    </row>
    <row r="64" spans="1:3" x14ac:dyDescent="0.3">
      <c r="A64"/>
      <c r="B64"/>
      <c r="C64"/>
    </row>
    <row r="65" spans="1:3" x14ac:dyDescent="0.3">
      <c r="A65"/>
      <c r="B65"/>
      <c r="C65"/>
    </row>
    <row r="66" spans="1:3" x14ac:dyDescent="0.3">
      <c r="A66"/>
      <c r="B66"/>
      <c r="C66"/>
    </row>
    <row r="67" spans="1:3" x14ac:dyDescent="0.3">
      <c r="A67"/>
      <c r="B67"/>
      <c r="C67"/>
    </row>
    <row r="68" spans="1:3" x14ac:dyDescent="0.3">
      <c r="A68"/>
      <c r="B68"/>
      <c r="C68"/>
    </row>
    <row r="69" spans="1:3" x14ac:dyDescent="0.3">
      <c r="A69"/>
      <c r="B69"/>
      <c r="C69"/>
    </row>
    <row r="70" spans="1:3" x14ac:dyDescent="0.3">
      <c r="A70"/>
      <c r="B70"/>
      <c r="C70"/>
    </row>
    <row r="71" spans="1:3" x14ac:dyDescent="0.3">
      <c r="A71"/>
      <c r="B71"/>
      <c r="C71"/>
    </row>
    <row r="72" spans="1:3" x14ac:dyDescent="0.3">
      <c r="A72"/>
      <c r="B72"/>
      <c r="C72"/>
    </row>
    <row r="73" spans="1:3" x14ac:dyDescent="0.3">
      <c r="A73"/>
      <c r="B73"/>
      <c r="C73"/>
    </row>
    <row r="74" spans="1:3" x14ac:dyDescent="0.3">
      <c r="A74"/>
      <c r="B74"/>
      <c r="C74"/>
    </row>
    <row r="75" spans="1:3" x14ac:dyDescent="0.3">
      <c r="A75"/>
      <c r="B75"/>
      <c r="C75"/>
    </row>
    <row r="76" spans="1:3" x14ac:dyDescent="0.3">
      <c r="A76"/>
      <c r="B76"/>
      <c r="C76"/>
    </row>
    <row r="77" spans="1:3" x14ac:dyDescent="0.3">
      <c r="A77"/>
      <c r="B77"/>
      <c r="C77"/>
    </row>
    <row r="78" spans="1:3" x14ac:dyDescent="0.3">
      <c r="A78"/>
      <c r="B78"/>
      <c r="C78"/>
    </row>
    <row r="79" spans="1:3" x14ac:dyDescent="0.3">
      <c r="A79"/>
      <c r="B79"/>
      <c r="C79"/>
    </row>
    <row r="80" spans="1:3" x14ac:dyDescent="0.3">
      <c r="A80"/>
      <c r="B80"/>
      <c r="C80"/>
    </row>
    <row r="81" spans="1:3" x14ac:dyDescent="0.3">
      <c r="A81"/>
      <c r="B81"/>
      <c r="C81"/>
    </row>
    <row r="82" spans="1:3" x14ac:dyDescent="0.3">
      <c r="A82"/>
      <c r="B82"/>
      <c r="C82"/>
    </row>
    <row r="83" spans="1:3" x14ac:dyDescent="0.3">
      <c r="A83"/>
      <c r="B83"/>
      <c r="C83"/>
    </row>
    <row r="84" spans="1:3" x14ac:dyDescent="0.3">
      <c r="A84"/>
      <c r="B84"/>
      <c r="C84"/>
    </row>
    <row r="85" spans="1:3" x14ac:dyDescent="0.3">
      <c r="A85"/>
      <c r="B85"/>
      <c r="C85"/>
    </row>
    <row r="86" spans="1:3" x14ac:dyDescent="0.3">
      <c r="A86"/>
      <c r="B86"/>
      <c r="C86"/>
    </row>
    <row r="87" spans="1:3" x14ac:dyDescent="0.3">
      <c r="A87"/>
      <c r="B87"/>
      <c r="C87"/>
    </row>
    <row r="88" spans="1:3" x14ac:dyDescent="0.3">
      <c r="A88"/>
      <c r="B88"/>
      <c r="C88"/>
    </row>
    <row r="89" spans="1:3" x14ac:dyDescent="0.3">
      <c r="A89"/>
      <c r="B89"/>
      <c r="C89"/>
    </row>
    <row r="90" spans="1:3" x14ac:dyDescent="0.3">
      <c r="A90"/>
      <c r="B90"/>
      <c r="C90"/>
    </row>
    <row r="91" spans="1:3" x14ac:dyDescent="0.3">
      <c r="A91"/>
      <c r="B91"/>
      <c r="C91"/>
    </row>
    <row r="92" spans="1:3" x14ac:dyDescent="0.3">
      <c r="A92"/>
      <c r="B92"/>
      <c r="C92"/>
    </row>
    <row r="93" spans="1:3" x14ac:dyDescent="0.3">
      <c r="A93"/>
      <c r="B93"/>
      <c r="C93"/>
    </row>
    <row r="94" spans="1:3" x14ac:dyDescent="0.3">
      <c r="A94"/>
      <c r="B94"/>
      <c r="C94"/>
    </row>
    <row r="95" spans="1:3" x14ac:dyDescent="0.3">
      <c r="A95"/>
      <c r="B95"/>
      <c r="C95"/>
    </row>
    <row r="96" spans="1:3" x14ac:dyDescent="0.3">
      <c r="A96"/>
      <c r="B96"/>
      <c r="C96"/>
    </row>
    <row r="97" spans="1:3" x14ac:dyDescent="0.3">
      <c r="A97"/>
      <c r="B97"/>
      <c r="C97"/>
    </row>
    <row r="98" spans="1:3" x14ac:dyDescent="0.3">
      <c r="A98"/>
      <c r="B98"/>
      <c r="C98"/>
    </row>
    <row r="99" spans="1:3" x14ac:dyDescent="0.3">
      <c r="A99"/>
      <c r="B99"/>
      <c r="C99"/>
    </row>
    <row r="100" spans="1:3" x14ac:dyDescent="0.3">
      <c r="A100"/>
      <c r="B100"/>
      <c r="C100"/>
    </row>
    <row r="101" spans="1:3" x14ac:dyDescent="0.3">
      <c r="A101"/>
      <c r="B101"/>
      <c r="C101"/>
    </row>
    <row r="102" spans="1:3" x14ac:dyDescent="0.3">
      <c r="A102"/>
      <c r="B102"/>
      <c r="C102"/>
    </row>
    <row r="103" spans="1:3" x14ac:dyDescent="0.3">
      <c r="A103"/>
      <c r="B103"/>
      <c r="C103"/>
    </row>
    <row r="104" spans="1:3" x14ac:dyDescent="0.3">
      <c r="A104"/>
      <c r="B104"/>
      <c r="C104"/>
    </row>
    <row r="105" spans="1:3" x14ac:dyDescent="0.3">
      <c r="A105"/>
      <c r="B105"/>
      <c r="C105"/>
    </row>
    <row r="106" spans="1:3" x14ac:dyDescent="0.3">
      <c r="A106"/>
      <c r="B106"/>
      <c r="C106"/>
    </row>
    <row r="107" spans="1:3" x14ac:dyDescent="0.3">
      <c r="A107"/>
      <c r="B107"/>
      <c r="C107"/>
    </row>
    <row r="108" spans="1:3" x14ac:dyDescent="0.3">
      <c r="A108"/>
      <c r="B108"/>
      <c r="C108"/>
    </row>
    <row r="109" spans="1:3" x14ac:dyDescent="0.3">
      <c r="A109"/>
      <c r="B109"/>
      <c r="C109"/>
    </row>
    <row r="110" spans="1:3" x14ac:dyDescent="0.3">
      <c r="A110"/>
      <c r="B110"/>
      <c r="C110"/>
    </row>
    <row r="111" spans="1:3" x14ac:dyDescent="0.3">
      <c r="A111"/>
      <c r="B111"/>
      <c r="C111"/>
    </row>
    <row r="112" spans="1:3" x14ac:dyDescent="0.3">
      <c r="A112"/>
      <c r="B112"/>
      <c r="C112"/>
    </row>
    <row r="113" spans="1:3" x14ac:dyDescent="0.3">
      <c r="A113"/>
      <c r="B113"/>
      <c r="C113"/>
    </row>
    <row r="114" spans="1:3" x14ac:dyDescent="0.3">
      <c r="A114"/>
      <c r="B114"/>
      <c r="C114"/>
    </row>
    <row r="115" spans="1:3" x14ac:dyDescent="0.3">
      <c r="A115"/>
      <c r="B115"/>
      <c r="C115"/>
    </row>
    <row r="116" spans="1:3" x14ac:dyDescent="0.3">
      <c r="A116"/>
      <c r="B116"/>
      <c r="C116"/>
    </row>
    <row r="117" spans="1:3" x14ac:dyDescent="0.3">
      <c r="A117"/>
      <c r="B117"/>
      <c r="C117"/>
    </row>
    <row r="118" spans="1:3" x14ac:dyDescent="0.3">
      <c r="A118"/>
      <c r="B118"/>
      <c r="C118"/>
    </row>
    <row r="119" spans="1:3" x14ac:dyDescent="0.3">
      <c r="A119"/>
      <c r="B119"/>
      <c r="C119"/>
    </row>
    <row r="120" spans="1:3" x14ac:dyDescent="0.3">
      <c r="A120"/>
      <c r="B120"/>
      <c r="C120"/>
    </row>
    <row r="121" spans="1:3" x14ac:dyDescent="0.3">
      <c r="A121"/>
      <c r="B121"/>
      <c r="C121"/>
    </row>
    <row r="122" spans="1:3" x14ac:dyDescent="0.3">
      <c r="A122"/>
      <c r="B122"/>
      <c r="C122"/>
    </row>
    <row r="123" spans="1:3" x14ac:dyDescent="0.3">
      <c r="A123"/>
      <c r="B123"/>
      <c r="C123"/>
    </row>
    <row r="124" spans="1:3" x14ac:dyDescent="0.3">
      <c r="A124"/>
      <c r="B124"/>
      <c r="C124"/>
    </row>
    <row r="125" spans="1:3" x14ac:dyDescent="0.3">
      <c r="A125"/>
      <c r="B125"/>
      <c r="C125"/>
    </row>
    <row r="126" spans="1:3" x14ac:dyDescent="0.3">
      <c r="A126"/>
      <c r="B126"/>
      <c r="C126"/>
    </row>
    <row r="127" spans="1:3" x14ac:dyDescent="0.3">
      <c r="A127"/>
      <c r="B127"/>
      <c r="C127"/>
    </row>
    <row r="128" spans="1:3" x14ac:dyDescent="0.3">
      <c r="A128"/>
      <c r="B128"/>
      <c r="C128"/>
    </row>
    <row r="129" spans="1:3" x14ac:dyDescent="0.3">
      <c r="A129"/>
      <c r="B129"/>
      <c r="C129"/>
    </row>
    <row r="130" spans="1:3" x14ac:dyDescent="0.3">
      <c r="A130"/>
      <c r="B130"/>
      <c r="C130"/>
    </row>
  </sheetData>
  <pageMargins left="0.7" right="0.7" top="0.75" bottom="0.75" header="0.3" footer="0.3"/>
  <pageSetup scale="57" orientation="portrait" horizontalDpi="1200" verticalDpi="1200" r:id="rId3"/>
  <drawing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53567-7640-4F87-B117-BEDB7737D1A2}">
  <sheetPr codeName="Sheet5"/>
  <dimension ref="A1:E91"/>
  <sheetViews>
    <sheetView workbookViewId="0">
      <selection activeCell="M16" sqref="M16"/>
    </sheetView>
  </sheetViews>
  <sheetFormatPr defaultRowHeight="14.4" x14ac:dyDescent="0.3"/>
  <cols>
    <col min="1" max="1" width="16.88671875" bestFit="1" customWidth="1"/>
    <col min="2" max="2" width="12.77734375" bestFit="1" customWidth="1"/>
    <col min="3" max="3" width="21.88671875" bestFit="1" customWidth="1"/>
    <col min="4" max="4" width="8.44140625" bestFit="1" customWidth="1"/>
    <col min="5" max="5" width="8.21875" bestFit="1" customWidth="1"/>
  </cols>
  <sheetData>
    <row r="1" spans="1:5" x14ac:dyDescent="0.3">
      <c r="A1" t="s">
        <v>93</v>
      </c>
      <c r="B1" t="s">
        <v>94</v>
      </c>
      <c r="C1" t="s">
        <v>95</v>
      </c>
      <c r="D1" t="s">
        <v>96</v>
      </c>
      <c r="E1" t="s">
        <v>97</v>
      </c>
    </row>
    <row r="2" spans="1:5" x14ac:dyDescent="0.3">
      <c r="A2" s="2" t="s">
        <v>151</v>
      </c>
      <c r="B2" s="2" t="s">
        <v>152</v>
      </c>
      <c r="C2" s="2" t="s">
        <v>98</v>
      </c>
      <c r="D2" s="2" t="s">
        <v>79</v>
      </c>
      <c r="E2" s="2" t="s">
        <v>105</v>
      </c>
    </row>
    <row r="3" spans="1:5" x14ac:dyDescent="0.3">
      <c r="A3" s="2" t="s">
        <v>153</v>
      </c>
      <c r="B3" s="2" t="s">
        <v>154</v>
      </c>
      <c r="C3" s="2" t="s">
        <v>155</v>
      </c>
      <c r="D3" s="2" t="s">
        <v>79</v>
      </c>
      <c r="E3" s="2" t="s">
        <v>70</v>
      </c>
    </row>
    <row r="4" spans="1:5" x14ac:dyDescent="0.3">
      <c r="A4" s="2" t="s">
        <v>156</v>
      </c>
      <c r="B4" s="2" t="s">
        <v>157</v>
      </c>
      <c r="C4" s="2" t="s">
        <v>108</v>
      </c>
      <c r="D4" s="2" t="s">
        <v>79</v>
      </c>
      <c r="E4" s="2" t="s">
        <v>102</v>
      </c>
    </row>
    <row r="5" spans="1:5" x14ac:dyDescent="0.3">
      <c r="A5" s="2" t="s">
        <v>158</v>
      </c>
      <c r="B5" s="2" t="s">
        <v>159</v>
      </c>
      <c r="C5" s="2" t="s">
        <v>98</v>
      </c>
      <c r="D5" s="2" t="s">
        <v>79</v>
      </c>
      <c r="E5" s="2" t="s">
        <v>67</v>
      </c>
    </row>
    <row r="6" spans="1:5" x14ac:dyDescent="0.3">
      <c r="A6" s="2" t="s">
        <v>160</v>
      </c>
      <c r="B6" s="2" t="s">
        <v>161</v>
      </c>
      <c r="C6" s="2" t="s">
        <v>98</v>
      </c>
      <c r="D6" s="2" t="s">
        <v>79</v>
      </c>
      <c r="E6" s="2" t="s">
        <v>120</v>
      </c>
    </row>
    <row r="7" spans="1:5" x14ac:dyDescent="0.3">
      <c r="A7" s="2" t="s">
        <v>162</v>
      </c>
      <c r="B7" s="2" t="s">
        <v>163</v>
      </c>
      <c r="C7" s="2" t="s">
        <v>164</v>
      </c>
      <c r="D7" s="2" t="s">
        <v>79</v>
      </c>
      <c r="E7" s="2" t="s">
        <v>70</v>
      </c>
    </row>
    <row r="8" spans="1:5" x14ac:dyDescent="0.3">
      <c r="A8" s="2" t="s">
        <v>151</v>
      </c>
      <c r="B8" s="2" t="s">
        <v>109</v>
      </c>
      <c r="C8" s="2" t="s">
        <v>98</v>
      </c>
      <c r="D8" s="2" t="s">
        <v>79</v>
      </c>
      <c r="E8" s="2" t="s">
        <v>105</v>
      </c>
    </row>
    <row r="9" spans="1:5" x14ac:dyDescent="0.3">
      <c r="A9" s="2" t="s">
        <v>165</v>
      </c>
      <c r="B9" s="2" t="s">
        <v>166</v>
      </c>
      <c r="C9" s="2" t="s">
        <v>167</v>
      </c>
      <c r="D9" s="2" t="s">
        <v>79</v>
      </c>
      <c r="E9" s="2" t="s">
        <v>89</v>
      </c>
    </row>
    <row r="10" spans="1:5" x14ac:dyDescent="0.3">
      <c r="A10" s="2" t="s">
        <v>153</v>
      </c>
      <c r="B10" s="2" t="s">
        <v>168</v>
      </c>
      <c r="C10" s="2" t="s">
        <v>98</v>
      </c>
      <c r="D10" s="2" t="s">
        <v>79</v>
      </c>
      <c r="E10" s="2" t="s">
        <v>70</v>
      </c>
    </row>
    <row r="11" spans="1:5" x14ac:dyDescent="0.3">
      <c r="A11" s="2" t="s">
        <v>156</v>
      </c>
      <c r="B11" s="2" t="s">
        <v>169</v>
      </c>
      <c r="C11" s="2" t="s">
        <v>170</v>
      </c>
      <c r="D11" s="2" t="s">
        <v>79</v>
      </c>
      <c r="E11" s="2" t="s">
        <v>102</v>
      </c>
    </row>
    <row r="12" spans="1:5" x14ac:dyDescent="0.3">
      <c r="A12" s="2" t="s">
        <v>162</v>
      </c>
      <c r="B12" s="2" t="s">
        <v>171</v>
      </c>
      <c r="C12" s="2" t="s">
        <v>107</v>
      </c>
      <c r="D12" s="2" t="s">
        <v>79</v>
      </c>
      <c r="E12" s="2" t="s">
        <v>70</v>
      </c>
    </row>
    <row r="13" spans="1:5" x14ac:dyDescent="0.3">
      <c r="A13" s="2" t="s">
        <v>158</v>
      </c>
      <c r="B13" s="2" t="s">
        <v>172</v>
      </c>
      <c r="C13" s="2" t="s">
        <v>99</v>
      </c>
      <c r="D13" s="2" t="s">
        <v>79</v>
      </c>
      <c r="E13" s="2" t="s">
        <v>67</v>
      </c>
    </row>
    <row r="14" spans="1:5" x14ac:dyDescent="0.3">
      <c r="A14" s="2" t="s">
        <v>165</v>
      </c>
      <c r="B14" s="2" t="s">
        <v>173</v>
      </c>
      <c r="C14" s="2" t="s">
        <v>174</v>
      </c>
      <c r="D14" s="2" t="s">
        <v>79</v>
      </c>
      <c r="E14" s="2" t="s">
        <v>89</v>
      </c>
    </row>
    <row r="15" spans="1:5" x14ac:dyDescent="0.3">
      <c r="A15" s="2" t="s">
        <v>165</v>
      </c>
      <c r="B15" s="2" t="s">
        <v>175</v>
      </c>
      <c r="C15" s="2" t="s">
        <v>176</v>
      </c>
      <c r="D15" s="2" t="s">
        <v>79</v>
      </c>
      <c r="E15" s="2" t="s">
        <v>89</v>
      </c>
    </row>
    <row r="16" spans="1:5" x14ac:dyDescent="0.3">
      <c r="A16" s="2" t="s">
        <v>177</v>
      </c>
      <c r="B16" s="2" t="s">
        <v>178</v>
      </c>
      <c r="C16" s="2" t="s">
        <v>179</v>
      </c>
      <c r="D16" s="2" t="s">
        <v>79</v>
      </c>
      <c r="E16" s="2" t="s">
        <v>139</v>
      </c>
    </row>
    <row r="17" spans="1:5" x14ac:dyDescent="0.3">
      <c r="A17" s="2" t="s">
        <v>162</v>
      </c>
      <c r="B17" s="2" t="s">
        <v>110</v>
      </c>
      <c r="C17" s="2" t="s">
        <v>107</v>
      </c>
      <c r="D17" s="2" t="s">
        <v>79</v>
      </c>
      <c r="E17" s="2" t="s">
        <v>70</v>
      </c>
    </row>
    <row r="18" spans="1:5" x14ac:dyDescent="0.3">
      <c r="A18" s="2" t="s">
        <v>165</v>
      </c>
      <c r="B18" s="2" t="s">
        <v>180</v>
      </c>
      <c r="C18" s="2" t="s">
        <v>174</v>
      </c>
      <c r="D18" s="2" t="s">
        <v>79</v>
      </c>
      <c r="E18" s="2" t="s">
        <v>89</v>
      </c>
    </row>
    <row r="19" spans="1:5" x14ac:dyDescent="0.3">
      <c r="A19" s="2" t="s">
        <v>160</v>
      </c>
      <c r="B19" s="2" t="s">
        <v>181</v>
      </c>
      <c r="C19" s="2" t="s">
        <v>98</v>
      </c>
      <c r="D19" s="2" t="s">
        <v>79</v>
      </c>
      <c r="E19" s="2" t="s">
        <v>120</v>
      </c>
    </row>
    <row r="20" spans="1:5" x14ac:dyDescent="0.3">
      <c r="A20" s="2" t="s">
        <v>177</v>
      </c>
      <c r="B20" s="2" t="s">
        <v>182</v>
      </c>
      <c r="C20" s="2" t="s">
        <v>179</v>
      </c>
      <c r="D20" s="2" t="s">
        <v>88</v>
      </c>
      <c r="E20" s="2" t="s">
        <v>139</v>
      </c>
    </row>
    <row r="21" spans="1:5" x14ac:dyDescent="0.3">
      <c r="A21" s="2" t="s">
        <v>160</v>
      </c>
      <c r="B21" s="2" t="s">
        <v>183</v>
      </c>
      <c r="C21" s="2" t="s">
        <v>98</v>
      </c>
      <c r="D21" s="2" t="s">
        <v>79</v>
      </c>
      <c r="E21" s="2" t="s">
        <v>120</v>
      </c>
    </row>
    <row r="22" spans="1:5" x14ac:dyDescent="0.3">
      <c r="A22" s="2" t="s">
        <v>151</v>
      </c>
      <c r="B22" s="2" t="s">
        <v>184</v>
      </c>
      <c r="C22" s="2" t="s">
        <v>114</v>
      </c>
      <c r="D22" s="2" t="s">
        <v>79</v>
      </c>
      <c r="E22" s="2" t="s">
        <v>105</v>
      </c>
    </row>
    <row r="23" spans="1:5" x14ac:dyDescent="0.3">
      <c r="A23" s="2" t="s">
        <v>165</v>
      </c>
      <c r="B23" s="2" t="s">
        <v>185</v>
      </c>
      <c r="C23" s="2" t="s">
        <v>186</v>
      </c>
      <c r="D23" s="2" t="s">
        <v>79</v>
      </c>
      <c r="E23" s="2" t="s">
        <v>89</v>
      </c>
    </row>
    <row r="24" spans="1:5" x14ac:dyDescent="0.3">
      <c r="A24" s="2" t="s">
        <v>156</v>
      </c>
      <c r="B24" s="2" t="s">
        <v>187</v>
      </c>
      <c r="C24" s="2" t="s">
        <v>108</v>
      </c>
      <c r="D24" s="2" t="s">
        <v>79</v>
      </c>
      <c r="E24" s="2" t="s">
        <v>102</v>
      </c>
    </row>
    <row r="25" spans="1:5" x14ac:dyDescent="0.3">
      <c r="A25" s="2" t="s">
        <v>156</v>
      </c>
      <c r="B25" s="2" t="s">
        <v>188</v>
      </c>
      <c r="C25" s="2" t="s">
        <v>108</v>
      </c>
      <c r="D25" s="2" t="s">
        <v>79</v>
      </c>
      <c r="E25" s="2" t="s">
        <v>102</v>
      </c>
    </row>
    <row r="26" spans="1:5" x14ac:dyDescent="0.3">
      <c r="A26" s="2" t="s">
        <v>151</v>
      </c>
      <c r="B26" s="2" t="s">
        <v>189</v>
      </c>
      <c r="C26" s="2" t="s">
        <v>98</v>
      </c>
      <c r="D26" s="2" t="s">
        <v>79</v>
      </c>
      <c r="E26" s="2" t="s">
        <v>105</v>
      </c>
    </row>
    <row r="27" spans="1:5" x14ac:dyDescent="0.3">
      <c r="A27" s="2" t="s">
        <v>158</v>
      </c>
      <c r="B27" s="2" t="s">
        <v>190</v>
      </c>
      <c r="C27" s="2" t="s">
        <v>191</v>
      </c>
      <c r="D27" s="2" t="s">
        <v>79</v>
      </c>
      <c r="E27" s="2" t="s">
        <v>67</v>
      </c>
    </row>
    <row r="28" spans="1:5" x14ac:dyDescent="0.3">
      <c r="A28" s="2" t="s">
        <v>160</v>
      </c>
      <c r="B28" s="2" t="s">
        <v>192</v>
      </c>
      <c r="C28" s="2" t="s">
        <v>98</v>
      </c>
      <c r="D28" s="2" t="s">
        <v>79</v>
      </c>
      <c r="E28" s="2" t="s">
        <v>120</v>
      </c>
    </row>
    <row r="29" spans="1:5" x14ac:dyDescent="0.3">
      <c r="A29" s="2" t="s">
        <v>177</v>
      </c>
      <c r="B29" s="2" t="s">
        <v>193</v>
      </c>
      <c r="C29" s="2" t="s">
        <v>179</v>
      </c>
      <c r="D29" s="2" t="s">
        <v>79</v>
      </c>
      <c r="E29" s="2" t="s">
        <v>139</v>
      </c>
    </row>
    <row r="30" spans="1:5" x14ac:dyDescent="0.3">
      <c r="A30" s="2" t="s">
        <v>177</v>
      </c>
      <c r="B30" s="2" t="s">
        <v>194</v>
      </c>
      <c r="C30" s="2" t="s">
        <v>179</v>
      </c>
      <c r="D30" s="2" t="s">
        <v>88</v>
      </c>
      <c r="E30" s="2" t="s">
        <v>139</v>
      </c>
    </row>
    <row r="31" spans="1:5" x14ac:dyDescent="0.3">
      <c r="A31" s="2" t="s">
        <v>153</v>
      </c>
      <c r="B31" s="2" t="s">
        <v>195</v>
      </c>
      <c r="C31" s="2" t="s">
        <v>155</v>
      </c>
      <c r="D31" s="2" t="s">
        <v>79</v>
      </c>
      <c r="E31" s="2" t="s">
        <v>70</v>
      </c>
    </row>
    <row r="32" spans="1:5" x14ac:dyDescent="0.3">
      <c r="A32" s="2" t="s">
        <v>156</v>
      </c>
      <c r="B32" s="2" t="s">
        <v>196</v>
      </c>
      <c r="C32" s="2" t="s">
        <v>197</v>
      </c>
      <c r="D32" s="2" t="s">
        <v>79</v>
      </c>
      <c r="E32" s="2" t="s">
        <v>102</v>
      </c>
    </row>
    <row r="33" spans="1:5" x14ac:dyDescent="0.3">
      <c r="A33" s="2" t="s">
        <v>160</v>
      </c>
      <c r="B33" s="2" t="s">
        <v>198</v>
      </c>
      <c r="C33" s="2" t="s">
        <v>98</v>
      </c>
      <c r="D33" s="2" t="s">
        <v>79</v>
      </c>
      <c r="E33" s="2" t="s">
        <v>120</v>
      </c>
    </row>
    <row r="34" spans="1:5" x14ac:dyDescent="0.3">
      <c r="A34" s="2" t="s">
        <v>165</v>
      </c>
      <c r="B34" s="2" t="s">
        <v>199</v>
      </c>
      <c r="C34" s="2" t="s">
        <v>174</v>
      </c>
      <c r="D34" s="2" t="s">
        <v>79</v>
      </c>
      <c r="E34" s="2" t="s">
        <v>89</v>
      </c>
    </row>
    <row r="35" spans="1:5" x14ac:dyDescent="0.3">
      <c r="A35" s="2" t="s">
        <v>158</v>
      </c>
      <c r="B35" s="2" t="s">
        <v>200</v>
      </c>
      <c r="C35" s="2" t="s">
        <v>99</v>
      </c>
      <c r="D35" s="2" t="s">
        <v>79</v>
      </c>
      <c r="E35" s="2" t="s">
        <v>67</v>
      </c>
    </row>
    <row r="36" spans="1:5" x14ac:dyDescent="0.3">
      <c r="A36" s="2" t="s">
        <v>153</v>
      </c>
      <c r="B36" s="2" t="s">
        <v>201</v>
      </c>
      <c r="C36" s="2" t="s">
        <v>179</v>
      </c>
      <c r="D36" s="2" t="s">
        <v>88</v>
      </c>
      <c r="E36" s="2" t="s">
        <v>70</v>
      </c>
    </row>
    <row r="37" spans="1:5" x14ac:dyDescent="0.3">
      <c r="A37" s="2" t="s">
        <v>177</v>
      </c>
      <c r="B37" s="2" t="s">
        <v>202</v>
      </c>
      <c r="C37" s="2" t="s">
        <v>179</v>
      </c>
      <c r="D37" s="2" t="s">
        <v>79</v>
      </c>
      <c r="E37" s="2" t="s">
        <v>139</v>
      </c>
    </row>
    <row r="38" spans="1:5" x14ac:dyDescent="0.3">
      <c r="A38" s="2" t="s">
        <v>160</v>
      </c>
      <c r="B38" s="2" t="s">
        <v>203</v>
      </c>
      <c r="C38" s="2" t="s">
        <v>98</v>
      </c>
      <c r="D38" s="2" t="s">
        <v>79</v>
      </c>
      <c r="E38" s="2" t="s">
        <v>120</v>
      </c>
    </row>
    <row r="39" spans="1:5" x14ac:dyDescent="0.3">
      <c r="A39" s="2" t="s">
        <v>153</v>
      </c>
      <c r="B39" s="2" t="s">
        <v>204</v>
      </c>
      <c r="C39" s="2" t="s">
        <v>179</v>
      </c>
      <c r="D39" s="2" t="s">
        <v>88</v>
      </c>
      <c r="E39" s="2" t="s">
        <v>70</v>
      </c>
    </row>
    <row r="40" spans="1:5" x14ac:dyDescent="0.3">
      <c r="A40" s="2" t="s">
        <v>156</v>
      </c>
      <c r="B40" s="2" t="s">
        <v>205</v>
      </c>
      <c r="C40" s="2" t="s">
        <v>206</v>
      </c>
      <c r="D40" s="2" t="s">
        <v>79</v>
      </c>
      <c r="E40" s="2" t="s">
        <v>102</v>
      </c>
    </row>
    <row r="41" spans="1:5" x14ac:dyDescent="0.3">
      <c r="A41" s="2" t="s">
        <v>156</v>
      </c>
      <c r="B41" s="2" t="s">
        <v>207</v>
      </c>
      <c r="C41" s="2" t="s">
        <v>208</v>
      </c>
      <c r="D41" s="2" t="s">
        <v>79</v>
      </c>
      <c r="E41" s="2" t="s">
        <v>102</v>
      </c>
    </row>
    <row r="42" spans="1:5" x14ac:dyDescent="0.3">
      <c r="A42" s="2" t="s">
        <v>160</v>
      </c>
      <c r="B42" s="2" t="s">
        <v>209</v>
      </c>
      <c r="C42" s="2" t="s">
        <v>98</v>
      </c>
      <c r="D42" s="2" t="s">
        <v>79</v>
      </c>
      <c r="E42" s="2" t="s">
        <v>120</v>
      </c>
    </row>
    <row r="43" spans="1:5" x14ac:dyDescent="0.3">
      <c r="A43" s="2" t="s">
        <v>162</v>
      </c>
      <c r="B43" s="2" t="s">
        <v>210</v>
      </c>
      <c r="C43" s="2" t="s">
        <v>155</v>
      </c>
      <c r="D43" s="2" t="s">
        <v>79</v>
      </c>
      <c r="E43" s="2" t="s">
        <v>70</v>
      </c>
    </row>
    <row r="44" spans="1:5" x14ac:dyDescent="0.3">
      <c r="A44" s="2" t="s">
        <v>162</v>
      </c>
      <c r="B44" s="2" t="s">
        <v>211</v>
      </c>
      <c r="C44" s="2" t="s">
        <v>179</v>
      </c>
      <c r="D44" s="2" t="s">
        <v>88</v>
      </c>
      <c r="E44" s="2" t="s">
        <v>70</v>
      </c>
    </row>
    <row r="45" spans="1:5" x14ac:dyDescent="0.3">
      <c r="A45" s="2" t="s">
        <v>151</v>
      </c>
      <c r="B45" s="2" t="s">
        <v>212</v>
      </c>
      <c r="C45" s="2" t="s">
        <v>213</v>
      </c>
      <c r="D45" s="2" t="s">
        <v>79</v>
      </c>
      <c r="E45" s="2" t="s">
        <v>105</v>
      </c>
    </row>
    <row r="46" spans="1:5" x14ac:dyDescent="0.3">
      <c r="A46" s="2" t="s">
        <v>156</v>
      </c>
      <c r="B46" s="2" t="s">
        <v>214</v>
      </c>
      <c r="C46" s="2" t="s">
        <v>206</v>
      </c>
      <c r="D46" s="2" t="s">
        <v>79</v>
      </c>
      <c r="E46" s="2" t="s">
        <v>102</v>
      </c>
    </row>
    <row r="47" spans="1:5" x14ac:dyDescent="0.3">
      <c r="A47" s="2" t="s">
        <v>151</v>
      </c>
      <c r="B47" s="2" t="s">
        <v>115</v>
      </c>
      <c r="C47" s="2" t="s">
        <v>98</v>
      </c>
      <c r="D47" s="2" t="s">
        <v>79</v>
      </c>
      <c r="E47" s="2" t="s">
        <v>105</v>
      </c>
    </row>
    <row r="48" spans="1:5" x14ac:dyDescent="0.3">
      <c r="A48" s="2" t="s">
        <v>153</v>
      </c>
      <c r="B48" s="2" t="s">
        <v>215</v>
      </c>
      <c r="C48" s="2" t="s">
        <v>155</v>
      </c>
      <c r="D48" s="2" t="s">
        <v>79</v>
      </c>
      <c r="E48" s="2" t="s">
        <v>70</v>
      </c>
    </row>
    <row r="49" spans="1:5" x14ac:dyDescent="0.3">
      <c r="A49" s="2" t="s">
        <v>162</v>
      </c>
      <c r="B49" s="2" t="s">
        <v>216</v>
      </c>
      <c r="C49" s="2" t="s">
        <v>179</v>
      </c>
      <c r="D49" s="2" t="s">
        <v>88</v>
      </c>
      <c r="E49" s="2" t="s">
        <v>70</v>
      </c>
    </row>
    <row r="50" spans="1:5" x14ac:dyDescent="0.3">
      <c r="A50" s="2" t="s">
        <v>165</v>
      </c>
      <c r="B50" s="2" t="s">
        <v>217</v>
      </c>
      <c r="C50" s="2" t="s">
        <v>218</v>
      </c>
      <c r="D50" s="2" t="s">
        <v>79</v>
      </c>
      <c r="E50" s="2" t="s">
        <v>89</v>
      </c>
    </row>
    <row r="51" spans="1:5" x14ac:dyDescent="0.3">
      <c r="A51" s="2" t="s">
        <v>177</v>
      </c>
      <c r="B51" s="2" t="s">
        <v>219</v>
      </c>
      <c r="C51" s="2" t="s">
        <v>179</v>
      </c>
      <c r="D51" s="2" t="s">
        <v>79</v>
      </c>
      <c r="E51" s="2" t="s">
        <v>139</v>
      </c>
    </row>
    <row r="52" spans="1:5" x14ac:dyDescent="0.3">
      <c r="A52" s="2" t="s">
        <v>177</v>
      </c>
      <c r="B52" s="2" t="s">
        <v>220</v>
      </c>
      <c r="C52" s="2" t="s">
        <v>179</v>
      </c>
      <c r="D52" s="2" t="s">
        <v>79</v>
      </c>
      <c r="E52" s="2" t="s">
        <v>139</v>
      </c>
    </row>
    <row r="53" spans="1:5" x14ac:dyDescent="0.3">
      <c r="A53" s="2" t="s">
        <v>162</v>
      </c>
      <c r="B53" s="2" t="s">
        <v>221</v>
      </c>
      <c r="C53" s="2" t="s">
        <v>155</v>
      </c>
      <c r="D53" s="2" t="s">
        <v>79</v>
      </c>
      <c r="E53" s="2" t="s">
        <v>70</v>
      </c>
    </row>
    <row r="54" spans="1:5" x14ac:dyDescent="0.3">
      <c r="A54" s="2" t="s">
        <v>162</v>
      </c>
      <c r="B54" s="2" t="s">
        <v>222</v>
      </c>
      <c r="C54" s="2" t="s">
        <v>179</v>
      </c>
      <c r="D54" s="2" t="s">
        <v>88</v>
      </c>
      <c r="E54" s="2" t="s">
        <v>70</v>
      </c>
    </row>
    <row r="55" spans="1:5" x14ac:dyDescent="0.3">
      <c r="A55" s="2" t="s">
        <v>151</v>
      </c>
      <c r="B55" s="2" t="s">
        <v>223</v>
      </c>
      <c r="C55" s="2" t="s">
        <v>98</v>
      </c>
      <c r="D55" s="2" t="s">
        <v>79</v>
      </c>
      <c r="E55" s="2" t="s">
        <v>105</v>
      </c>
    </row>
    <row r="56" spans="1:5" x14ac:dyDescent="0.3">
      <c r="A56" s="2" t="s">
        <v>156</v>
      </c>
      <c r="B56" s="2" t="s">
        <v>224</v>
      </c>
      <c r="C56" s="2" t="s">
        <v>225</v>
      </c>
      <c r="D56" s="2" t="s">
        <v>79</v>
      </c>
      <c r="E56" s="2" t="s">
        <v>102</v>
      </c>
    </row>
    <row r="57" spans="1:5" x14ac:dyDescent="0.3">
      <c r="A57" s="2" t="s">
        <v>177</v>
      </c>
      <c r="B57" s="2" t="s">
        <v>226</v>
      </c>
      <c r="C57" s="2" t="s">
        <v>179</v>
      </c>
      <c r="D57" s="2" t="s">
        <v>88</v>
      </c>
      <c r="E57" s="2" t="s">
        <v>139</v>
      </c>
    </row>
    <row r="58" spans="1:5" x14ac:dyDescent="0.3">
      <c r="A58" s="2" t="s">
        <v>158</v>
      </c>
      <c r="B58" s="2" t="s">
        <v>227</v>
      </c>
      <c r="C58" s="2" t="s">
        <v>111</v>
      </c>
      <c r="D58" s="2" t="s">
        <v>79</v>
      </c>
      <c r="E58" s="2" t="s">
        <v>67</v>
      </c>
    </row>
    <row r="59" spans="1:5" x14ac:dyDescent="0.3">
      <c r="A59" s="2" t="s">
        <v>156</v>
      </c>
      <c r="B59" s="2" t="s">
        <v>228</v>
      </c>
      <c r="C59" s="2" t="s">
        <v>112</v>
      </c>
      <c r="D59" s="2" t="s">
        <v>79</v>
      </c>
      <c r="E59" s="2" t="s">
        <v>102</v>
      </c>
    </row>
    <row r="60" spans="1:5" x14ac:dyDescent="0.3">
      <c r="A60" s="2" t="s">
        <v>151</v>
      </c>
      <c r="B60" s="2" t="s">
        <v>229</v>
      </c>
      <c r="C60" s="2" t="s">
        <v>98</v>
      </c>
      <c r="D60" s="2" t="s">
        <v>79</v>
      </c>
      <c r="E60" s="2" t="s">
        <v>105</v>
      </c>
    </row>
    <row r="61" spans="1:5" x14ac:dyDescent="0.3">
      <c r="A61" s="2" t="s">
        <v>151</v>
      </c>
      <c r="B61" s="2" t="s">
        <v>230</v>
      </c>
      <c r="C61" s="2" t="s">
        <v>98</v>
      </c>
      <c r="D61" s="2" t="s">
        <v>79</v>
      </c>
      <c r="E61" s="2" t="s">
        <v>105</v>
      </c>
    </row>
    <row r="62" spans="1:5" x14ac:dyDescent="0.3">
      <c r="A62" s="2" t="s">
        <v>160</v>
      </c>
      <c r="B62" s="2" t="s">
        <v>100</v>
      </c>
      <c r="C62" s="2" t="s">
        <v>98</v>
      </c>
      <c r="D62" s="2" t="s">
        <v>79</v>
      </c>
      <c r="E62" s="2" t="s">
        <v>120</v>
      </c>
    </row>
    <row r="63" spans="1:5" x14ac:dyDescent="0.3">
      <c r="A63" s="2" t="s">
        <v>153</v>
      </c>
      <c r="B63" s="2" t="s">
        <v>231</v>
      </c>
      <c r="C63" s="2" t="s">
        <v>232</v>
      </c>
      <c r="D63" s="2" t="s">
        <v>79</v>
      </c>
      <c r="E63" s="2" t="s">
        <v>70</v>
      </c>
    </row>
    <row r="64" spans="1:5" x14ac:dyDescent="0.3">
      <c r="A64" s="2" t="s">
        <v>165</v>
      </c>
      <c r="B64" s="2" t="s">
        <v>233</v>
      </c>
      <c r="C64" s="2" t="s">
        <v>174</v>
      </c>
      <c r="D64" s="2" t="s">
        <v>79</v>
      </c>
      <c r="E64" s="2" t="s">
        <v>89</v>
      </c>
    </row>
    <row r="65" spans="1:5" x14ac:dyDescent="0.3">
      <c r="A65" s="2" t="s">
        <v>158</v>
      </c>
      <c r="B65" s="2" t="s">
        <v>234</v>
      </c>
      <c r="C65" s="2" t="s">
        <v>99</v>
      </c>
      <c r="D65" s="2" t="s">
        <v>79</v>
      </c>
      <c r="E65" s="2" t="s">
        <v>67</v>
      </c>
    </row>
    <row r="66" spans="1:5" x14ac:dyDescent="0.3">
      <c r="A66" s="2" t="s">
        <v>151</v>
      </c>
      <c r="B66" s="2" t="s">
        <v>235</v>
      </c>
      <c r="C66" s="2" t="s">
        <v>236</v>
      </c>
      <c r="D66" s="2" t="s">
        <v>79</v>
      </c>
      <c r="E66" s="2" t="s">
        <v>105</v>
      </c>
    </row>
    <row r="67" spans="1:5" x14ac:dyDescent="0.3">
      <c r="A67" s="2" t="s">
        <v>151</v>
      </c>
      <c r="B67" s="2" t="s">
        <v>237</v>
      </c>
      <c r="C67" s="2" t="s">
        <v>98</v>
      </c>
      <c r="D67" s="2" t="s">
        <v>79</v>
      </c>
      <c r="E67" s="2" t="s">
        <v>105</v>
      </c>
    </row>
    <row r="68" spans="1:5" x14ac:dyDescent="0.3">
      <c r="A68" s="2" t="s">
        <v>177</v>
      </c>
      <c r="B68" s="2" t="s">
        <v>116</v>
      </c>
      <c r="C68" s="2" t="s">
        <v>179</v>
      </c>
      <c r="D68" s="2" t="s">
        <v>88</v>
      </c>
      <c r="E68" s="2" t="s">
        <v>139</v>
      </c>
    </row>
    <row r="69" spans="1:5" x14ac:dyDescent="0.3">
      <c r="A69" s="2" t="s">
        <v>177</v>
      </c>
      <c r="B69" s="2" t="s">
        <v>238</v>
      </c>
      <c r="C69" s="2" t="s">
        <v>179</v>
      </c>
      <c r="D69" s="2" t="s">
        <v>88</v>
      </c>
      <c r="E69" s="2" t="s">
        <v>139</v>
      </c>
    </row>
    <row r="70" spans="1:5" x14ac:dyDescent="0.3">
      <c r="A70" s="2" t="s">
        <v>160</v>
      </c>
      <c r="B70" s="2" t="s">
        <v>239</v>
      </c>
      <c r="C70" s="2" t="s">
        <v>98</v>
      </c>
      <c r="D70" s="2" t="s">
        <v>79</v>
      </c>
      <c r="E70" s="2" t="s">
        <v>120</v>
      </c>
    </row>
    <row r="71" spans="1:5" x14ac:dyDescent="0.3">
      <c r="A71" s="2" t="s">
        <v>156</v>
      </c>
      <c r="B71" s="2" t="s">
        <v>240</v>
      </c>
      <c r="C71" s="2" t="s">
        <v>113</v>
      </c>
      <c r="D71" s="2" t="s">
        <v>79</v>
      </c>
      <c r="E71" s="2" t="s">
        <v>102</v>
      </c>
    </row>
    <row r="72" spans="1:5" x14ac:dyDescent="0.3">
      <c r="A72" s="2" t="s">
        <v>165</v>
      </c>
      <c r="B72" s="2" t="s">
        <v>241</v>
      </c>
      <c r="C72" s="2" t="s">
        <v>174</v>
      </c>
      <c r="D72" s="2" t="s">
        <v>79</v>
      </c>
      <c r="E72" s="2" t="s">
        <v>89</v>
      </c>
    </row>
    <row r="73" spans="1:5" x14ac:dyDescent="0.3">
      <c r="A73" s="2" t="s">
        <v>153</v>
      </c>
      <c r="B73" s="2" t="s">
        <v>242</v>
      </c>
      <c r="C73" s="2" t="s">
        <v>155</v>
      </c>
      <c r="D73" s="2" t="s">
        <v>79</v>
      </c>
      <c r="E73" s="2" t="s">
        <v>70</v>
      </c>
    </row>
    <row r="74" spans="1:5" x14ac:dyDescent="0.3">
      <c r="A74" s="2" t="s">
        <v>156</v>
      </c>
      <c r="B74" s="2" t="s">
        <v>243</v>
      </c>
      <c r="C74" s="2" t="s">
        <v>206</v>
      </c>
      <c r="D74" s="2" t="s">
        <v>79</v>
      </c>
      <c r="E74" s="2" t="s">
        <v>102</v>
      </c>
    </row>
    <row r="75" spans="1:5" x14ac:dyDescent="0.3">
      <c r="A75" s="2" t="s">
        <v>153</v>
      </c>
      <c r="B75" s="2" t="s">
        <v>244</v>
      </c>
      <c r="C75" s="2" t="s">
        <v>155</v>
      </c>
      <c r="D75" s="2" t="s">
        <v>79</v>
      </c>
      <c r="E75" s="2" t="s">
        <v>70</v>
      </c>
    </row>
    <row r="76" spans="1:5" x14ac:dyDescent="0.3">
      <c r="A76" s="2" t="s">
        <v>162</v>
      </c>
      <c r="B76" s="2" t="s">
        <v>245</v>
      </c>
      <c r="C76" s="2" t="s">
        <v>179</v>
      </c>
      <c r="D76" s="2" t="s">
        <v>88</v>
      </c>
      <c r="E76" s="2" t="s">
        <v>70</v>
      </c>
    </row>
    <row r="77" spans="1:5" x14ac:dyDescent="0.3">
      <c r="A77" s="2" t="s">
        <v>158</v>
      </c>
      <c r="B77" s="2" t="s">
        <v>246</v>
      </c>
      <c r="C77" s="2" t="s">
        <v>191</v>
      </c>
      <c r="D77" s="2" t="s">
        <v>79</v>
      </c>
      <c r="E77" s="2" t="s">
        <v>67</v>
      </c>
    </row>
    <row r="78" spans="1:5" x14ac:dyDescent="0.3">
      <c r="A78" s="2" t="s">
        <v>162</v>
      </c>
      <c r="B78" s="2" t="s">
        <v>247</v>
      </c>
      <c r="C78" s="2" t="s">
        <v>107</v>
      </c>
      <c r="D78" s="2" t="s">
        <v>79</v>
      </c>
      <c r="E78" s="2" t="s">
        <v>70</v>
      </c>
    </row>
    <row r="79" spans="1:5" x14ac:dyDescent="0.3">
      <c r="A79" s="2" t="s">
        <v>160</v>
      </c>
      <c r="B79" s="2" t="s">
        <v>248</v>
      </c>
      <c r="C79" s="2" t="s">
        <v>98</v>
      </c>
      <c r="D79" s="2" t="s">
        <v>79</v>
      </c>
      <c r="E79" s="2" t="s">
        <v>120</v>
      </c>
    </row>
    <row r="80" spans="1:5" x14ac:dyDescent="0.3">
      <c r="A80" s="2" t="s">
        <v>177</v>
      </c>
      <c r="B80" s="2" t="s">
        <v>249</v>
      </c>
      <c r="C80" s="2" t="s">
        <v>179</v>
      </c>
      <c r="D80" s="2" t="s">
        <v>79</v>
      </c>
      <c r="E80" s="2" t="s">
        <v>139</v>
      </c>
    </row>
    <row r="81" spans="1:5" x14ac:dyDescent="0.3">
      <c r="A81" s="2" t="s">
        <v>160</v>
      </c>
      <c r="B81" s="2" t="s">
        <v>250</v>
      </c>
      <c r="C81" s="2" t="s">
        <v>98</v>
      </c>
      <c r="D81" s="2" t="s">
        <v>79</v>
      </c>
      <c r="E81" s="2" t="s">
        <v>120</v>
      </c>
    </row>
    <row r="82" spans="1:5" x14ac:dyDescent="0.3">
      <c r="A82" s="2" t="s">
        <v>165</v>
      </c>
      <c r="B82" s="2" t="s">
        <v>251</v>
      </c>
      <c r="C82" s="2" t="s">
        <v>174</v>
      </c>
      <c r="D82" s="2" t="s">
        <v>79</v>
      </c>
      <c r="E82" s="2" t="s">
        <v>89</v>
      </c>
    </row>
    <row r="83" spans="1:5" x14ac:dyDescent="0.3">
      <c r="A83" s="2" t="s">
        <v>153</v>
      </c>
      <c r="B83" s="2" t="s">
        <v>252</v>
      </c>
      <c r="C83" s="2" t="s">
        <v>98</v>
      </c>
      <c r="D83" s="2" t="s">
        <v>88</v>
      </c>
      <c r="E83" s="2" t="s">
        <v>70</v>
      </c>
    </row>
    <row r="84" spans="1:5" x14ac:dyDescent="0.3">
      <c r="A84" s="2" t="s">
        <v>162</v>
      </c>
      <c r="B84" s="2" t="s">
        <v>253</v>
      </c>
      <c r="C84" s="2" t="s">
        <v>254</v>
      </c>
      <c r="D84" s="2" t="s">
        <v>88</v>
      </c>
      <c r="E84" s="2" t="s">
        <v>70</v>
      </c>
    </row>
    <row r="85" spans="1:5" x14ac:dyDescent="0.3">
      <c r="A85" s="2" t="s">
        <v>162</v>
      </c>
      <c r="B85" s="2" t="s">
        <v>255</v>
      </c>
      <c r="C85" s="2" t="s">
        <v>99</v>
      </c>
      <c r="D85" s="2" t="s">
        <v>79</v>
      </c>
      <c r="E85" s="2" t="s">
        <v>70</v>
      </c>
    </row>
    <row r="86" spans="1:5" x14ac:dyDescent="0.3">
      <c r="A86" s="2" t="s">
        <v>165</v>
      </c>
      <c r="B86" s="2" t="s">
        <v>256</v>
      </c>
      <c r="C86" s="2" t="s">
        <v>174</v>
      </c>
      <c r="D86" s="2" t="s">
        <v>79</v>
      </c>
      <c r="E86" s="2" t="s">
        <v>89</v>
      </c>
    </row>
    <row r="87" spans="1:5" x14ac:dyDescent="0.3">
      <c r="A87" s="2" t="s">
        <v>158</v>
      </c>
      <c r="B87" s="2" t="s">
        <v>257</v>
      </c>
      <c r="C87" s="2" t="s">
        <v>99</v>
      </c>
      <c r="D87" s="2" t="s">
        <v>79</v>
      </c>
      <c r="E87" s="2" t="s">
        <v>67</v>
      </c>
    </row>
    <row r="88" spans="1:5" x14ac:dyDescent="0.3">
      <c r="A88" s="2" t="s">
        <v>153</v>
      </c>
      <c r="B88" s="2" t="s">
        <v>258</v>
      </c>
      <c r="C88" s="2" t="s">
        <v>98</v>
      </c>
      <c r="D88" s="2" t="s">
        <v>88</v>
      </c>
      <c r="E88" s="2" t="s">
        <v>70</v>
      </c>
    </row>
    <row r="89" spans="1:5" x14ac:dyDescent="0.3">
      <c r="A89" s="2" t="s">
        <v>153</v>
      </c>
      <c r="B89" s="2" t="s">
        <v>259</v>
      </c>
      <c r="C89" s="2" t="s">
        <v>98</v>
      </c>
      <c r="D89" s="2" t="s">
        <v>88</v>
      </c>
      <c r="E89" s="2" t="s">
        <v>70</v>
      </c>
    </row>
    <row r="90" spans="1:5" x14ac:dyDescent="0.3">
      <c r="A90" s="2" t="s">
        <v>158</v>
      </c>
      <c r="B90" s="2" t="s">
        <v>260</v>
      </c>
      <c r="C90" s="2" t="s">
        <v>191</v>
      </c>
      <c r="D90" s="2" t="s">
        <v>79</v>
      </c>
      <c r="E90" s="2" t="s">
        <v>67</v>
      </c>
    </row>
    <row r="91" spans="1:5" x14ac:dyDescent="0.3">
      <c r="A91" s="2" t="s">
        <v>158</v>
      </c>
      <c r="B91" s="2" t="s">
        <v>261</v>
      </c>
      <c r="C91" s="2" t="s">
        <v>99</v>
      </c>
      <c r="D91" s="2" t="s">
        <v>79</v>
      </c>
      <c r="E91" s="2" t="s">
        <v>67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72"/>
  <sheetViews>
    <sheetView zoomScaleNormal="100" workbookViewId="0">
      <selection activeCell="Z157" sqref="Z157"/>
    </sheetView>
  </sheetViews>
  <sheetFormatPr defaultRowHeight="14.4" x14ac:dyDescent="0.3"/>
  <cols>
    <col min="1" max="1" width="15.6640625" bestFit="1" customWidth="1"/>
    <col min="2" max="2" width="15.88671875" bestFit="1" customWidth="1"/>
    <col min="3" max="3" width="16.33203125" bestFit="1" customWidth="1"/>
    <col min="4" max="4" width="10.88671875" bestFit="1" customWidth="1"/>
    <col min="5" max="5" width="16.33203125" bestFit="1" customWidth="1"/>
    <col min="6" max="6" width="12.21875" bestFit="1" customWidth="1"/>
    <col min="7" max="7" width="25.21875" bestFit="1" customWidth="1"/>
    <col min="8" max="8" width="24.88671875" bestFit="1" customWidth="1"/>
    <col min="9" max="9" width="14" bestFit="1" customWidth="1"/>
    <col min="10" max="10" width="20.6640625" bestFit="1" customWidth="1"/>
    <col min="11" max="11" width="13.77734375" bestFit="1" customWidth="1"/>
    <col min="12" max="13" width="7.44140625" bestFit="1" customWidth="1"/>
    <col min="14" max="15" width="13.6640625" bestFit="1" customWidth="1"/>
    <col min="16" max="16" width="14.33203125" bestFit="1" customWidth="1"/>
    <col min="17" max="17" width="14.109375" bestFit="1" customWidth="1"/>
    <col min="18" max="18" width="12.5546875" bestFit="1" customWidth="1"/>
    <col min="19" max="19" width="12.44140625" bestFit="1" customWidth="1"/>
    <col min="20" max="20" width="10" bestFit="1" customWidth="1"/>
    <col min="21" max="21" width="14.21875" bestFit="1" customWidth="1"/>
    <col min="22" max="22" width="15.6640625" bestFit="1" customWidth="1"/>
    <col min="23" max="23" width="14.6640625" bestFit="1" customWidth="1"/>
    <col min="24" max="24" width="12.109375" bestFit="1" customWidth="1"/>
    <col min="25" max="25" width="11.88671875" bestFit="1" customWidth="1"/>
    <col min="26" max="26" width="13.109375" bestFit="1" customWidth="1"/>
    <col min="27" max="27" width="13" bestFit="1" customWidth="1"/>
    <col min="28" max="28" width="14.44140625" bestFit="1" customWidth="1"/>
    <col min="29" max="29" width="9.5546875" bestFit="1" customWidth="1"/>
  </cols>
  <sheetData>
    <row r="1" spans="1:28" x14ac:dyDescent="0.3">
      <c r="A1" t="s">
        <v>0</v>
      </c>
      <c r="B1" t="s">
        <v>20</v>
      </c>
      <c r="C1" t="s">
        <v>21</v>
      </c>
      <c r="D1" t="s">
        <v>1</v>
      </c>
      <c r="E1" t="s">
        <v>2</v>
      </c>
      <c r="F1" t="s">
        <v>3</v>
      </c>
      <c r="G1" t="s">
        <v>22</v>
      </c>
      <c r="H1" t="s">
        <v>23</v>
      </c>
      <c r="I1" t="s">
        <v>4</v>
      </c>
      <c r="J1" t="s">
        <v>5</v>
      </c>
      <c r="K1" t="s">
        <v>24</v>
      </c>
      <c r="L1" t="s">
        <v>6</v>
      </c>
      <c r="M1" t="s">
        <v>7</v>
      </c>
      <c r="N1" t="s">
        <v>8</v>
      </c>
      <c r="O1" t="s">
        <v>9</v>
      </c>
      <c r="P1" t="s">
        <v>18</v>
      </c>
      <c r="Q1" t="s">
        <v>19</v>
      </c>
      <c r="R1" t="s">
        <v>10</v>
      </c>
      <c r="S1" t="s">
        <v>11</v>
      </c>
      <c r="T1" t="s">
        <v>12</v>
      </c>
      <c r="U1" t="s">
        <v>13</v>
      </c>
      <c r="V1" t="s">
        <v>14</v>
      </c>
      <c r="W1" t="s">
        <v>15</v>
      </c>
      <c r="X1" t="s">
        <v>16</v>
      </c>
      <c r="Y1" t="s">
        <v>17</v>
      </c>
      <c r="Z1" t="s">
        <v>25</v>
      </c>
      <c r="AA1" t="s">
        <v>26</v>
      </c>
      <c r="AB1" t="s">
        <v>38</v>
      </c>
    </row>
    <row r="2" spans="1:28" x14ac:dyDescent="0.3">
      <c r="A2" s="38">
        <v>44272.416666666664</v>
      </c>
      <c r="B2" s="39">
        <v>44272</v>
      </c>
      <c r="C2" s="3">
        <v>0.41666666666666669</v>
      </c>
      <c r="D2" s="2" t="s">
        <v>274</v>
      </c>
      <c r="E2" s="2" t="s">
        <v>275</v>
      </c>
      <c r="G2">
        <v>63752280</v>
      </c>
      <c r="H2">
        <v>63752640</v>
      </c>
      <c r="I2" s="2" t="s">
        <v>46</v>
      </c>
      <c r="J2" s="2" t="s">
        <v>55</v>
      </c>
      <c r="K2" s="2" t="s">
        <v>276</v>
      </c>
      <c r="L2" s="2" t="s">
        <v>277</v>
      </c>
      <c r="M2" s="2" t="s">
        <v>89</v>
      </c>
      <c r="N2" s="2" t="s">
        <v>44</v>
      </c>
      <c r="O2">
        <v>10509</v>
      </c>
      <c r="P2">
        <v>42.4</v>
      </c>
      <c r="Q2">
        <v>683</v>
      </c>
      <c r="R2" s="2" t="s">
        <v>50</v>
      </c>
      <c r="S2" s="2" t="s">
        <v>122</v>
      </c>
      <c r="T2" s="2" t="s">
        <v>278</v>
      </c>
      <c r="U2" s="2" t="s">
        <v>101</v>
      </c>
      <c r="V2" s="38">
        <v>44272.729166666664</v>
      </c>
      <c r="W2" s="2" t="s">
        <v>47</v>
      </c>
      <c r="X2" s="4">
        <v>0.3125</v>
      </c>
      <c r="Y2">
        <v>1</v>
      </c>
      <c r="Z2">
        <v>0</v>
      </c>
      <c r="AA2" t="s">
        <v>65</v>
      </c>
      <c r="AB2" t="s">
        <v>46</v>
      </c>
    </row>
    <row r="3" spans="1:28" x14ac:dyDescent="0.3">
      <c r="A3" s="38">
        <v>44272.4375</v>
      </c>
      <c r="B3" s="39">
        <v>44272</v>
      </c>
      <c r="C3" s="3">
        <v>0.4375</v>
      </c>
      <c r="D3" s="2" t="s">
        <v>279</v>
      </c>
      <c r="E3" s="2" t="s">
        <v>280</v>
      </c>
      <c r="G3">
        <v>63752310</v>
      </c>
      <c r="H3">
        <v>63752670</v>
      </c>
      <c r="I3" s="2" t="s">
        <v>46</v>
      </c>
      <c r="J3" s="2" t="s">
        <v>66</v>
      </c>
      <c r="K3" s="2" t="s">
        <v>281</v>
      </c>
      <c r="L3" s="2" t="s">
        <v>75</v>
      </c>
      <c r="M3" s="2" t="s">
        <v>70</v>
      </c>
      <c r="N3" s="2" t="s">
        <v>44</v>
      </c>
      <c r="O3">
        <v>354</v>
      </c>
      <c r="P3">
        <v>0.72530899999999998</v>
      </c>
      <c r="Q3">
        <v>5</v>
      </c>
      <c r="R3" s="2" t="s">
        <v>50</v>
      </c>
      <c r="S3" s="2" t="s">
        <v>45</v>
      </c>
      <c r="T3" s="2" t="s">
        <v>80</v>
      </c>
      <c r="U3" s="2" t="s">
        <v>42</v>
      </c>
      <c r="V3" s="38">
        <v>44274.694444444445</v>
      </c>
      <c r="W3" s="2" t="s">
        <v>47</v>
      </c>
      <c r="X3" s="4">
        <v>2.2569444444444446</v>
      </c>
      <c r="Y3">
        <v>4</v>
      </c>
      <c r="Z3">
        <v>0</v>
      </c>
      <c r="AA3" t="s">
        <v>65</v>
      </c>
      <c r="AB3" t="s">
        <v>46</v>
      </c>
    </row>
    <row r="4" spans="1:28" x14ac:dyDescent="0.3">
      <c r="A4" s="38">
        <v>44272.4375</v>
      </c>
      <c r="B4" s="39">
        <v>44272</v>
      </c>
      <c r="C4" s="3">
        <v>0.4375</v>
      </c>
      <c r="D4" s="2" t="s">
        <v>279</v>
      </c>
      <c r="E4" s="2" t="s">
        <v>282</v>
      </c>
      <c r="G4">
        <v>63752310</v>
      </c>
      <c r="H4">
        <v>63752670</v>
      </c>
      <c r="I4" s="2" t="s">
        <v>46</v>
      </c>
      <c r="J4" s="2" t="s">
        <v>66</v>
      </c>
      <c r="K4" s="2" t="s">
        <v>283</v>
      </c>
      <c r="L4" s="2" t="s">
        <v>75</v>
      </c>
      <c r="M4" s="2" t="s">
        <v>67</v>
      </c>
      <c r="N4" s="2" t="s">
        <v>44</v>
      </c>
      <c r="O4">
        <v>1106</v>
      </c>
      <c r="P4">
        <v>6.8703079999999996</v>
      </c>
      <c r="Q4">
        <v>15</v>
      </c>
      <c r="R4" s="2" t="s">
        <v>50</v>
      </c>
      <c r="S4" s="2" t="s">
        <v>45</v>
      </c>
      <c r="T4" s="2" t="s">
        <v>278</v>
      </c>
      <c r="U4" s="2" t="s">
        <v>101</v>
      </c>
      <c r="V4" s="38">
        <v>44274.694444444445</v>
      </c>
      <c r="W4" s="2" t="s">
        <v>47</v>
      </c>
      <c r="X4" s="4">
        <v>2.2569444444444446</v>
      </c>
      <c r="Y4">
        <v>4</v>
      </c>
      <c r="Z4">
        <v>0</v>
      </c>
      <c r="AA4" t="s">
        <v>65</v>
      </c>
      <c r="AB4" t="s">
        <v>46</v>
      </c>
    </row>
    <row r="5" spans="1:28" x14ac:dyDescent="0.3">
      <c r="A5" s="38">
        <v>44272.586805555555</v>
      </c>
      <c r="B5" s="39">
        <v>44272</v>
      </c>
      <c r="C5" s="3">
        <v>0.58680555555555558</v>
      </c>
      <c r="D5" s="2" t="s">
        <v>123</v>
      </c>
      <c r="E5" s="2" t="s">
        <v>284</v>
      </c>
      <c r="G5">
        <v>63752525</v>
      </c>
      <c r="H5">
        <v>63752885</v>
      </c>
      <c r="I5" s="2" t="s">
        <v>42</v>
      </c>
      <c r="J5" s="2" t="s">
        <v>43</v>
      </c>
      <c r="K5" s="2" t="s">
        <v>285</v>
      </c>
      <c r="L5" s="2" t="s">
        <v>89</v>
      </c>
      <c r="M5" s="2" t="s">
        <v>51</v>
      </c>
      <c r="N5" s="2" t="s">
        <v>44</v>
      </c>
      <c r="O5">
        <v>1169</v>
      </c>
      <c r="P5">
        <v>8.2590240000000001</v>
      </c>
      <c r="Q5">
        <v>24</v>
      </c>
      <c r="R5" s="2" t="s">
        <v>50</v>
      </c>
      <c r="S5" s="2" t="s">
        <v>45</v>
      </c>
      <c r="T5" s="2" t="s">
        <v>286</v>
      </c>
      <c r="U5" s="2" t="s">
        <v>57</v>
      </c>
      <c r="V5" s="38">
        <v>44273.680555555555</v>
      </c>
      <c r="W5" s="2" t="s">
        <v>47</v>
      </c>
      <c r="X5" s="4">
        <v>1.09375</v>
      </c>
      <c r="Y5">
        <v>4</v>
      </c>
      <c r="Z5">
        <v>0</v>
      </c>
      <c r="AA5" t="s">
        <v>48</v>
      </c>
      <c r="AB5" t="s">
        <v>49</v>
      </c>
    </row>
    <row r="6" spans="1:28" x14ac:dyDescent="0.3">
      <c r="A6" s="38">
        <v>44272.586805555555</v>
      </c>
      <c r="B6" s="39">
        <v>44272</v>
      </c>
      <c r="C6" s="3">
        <v>0.58680555555555558</v>
      </c>
      <c r="D6" s="2" t="s">
        <v>123</v>
      </c>
      <c r="E6" s="2" t="s">
        <v>287</v>
      </c>
      <c r="G6">
        <v>63752525</v>
      </c>
      <c r="H6">
        <v>63752885</v>
      </c>
      <c r="I6" s="2" t="s">
        <v>42</v>
      </c>
      <c r="J6" s="2" t="s">
        <v>43</v>
      </c>
      <c r="K6" s="2" t="s">
        <v>142</v>
      </c>
      <c r="L6" s="2" t="s">
        <v>89</v>
      </c>
      <c r="M6" s="2" t="s">
        <v>73</v>
      </c>
      <c r="N6" s="2" t="s">
        <v>44</v>
      </c>
      <c r="O6">
        <v>165</v>
      </c>
      <c r="P6">
        <v>1.3956919999999999</v>
      </c>
      <c r="Q6">
        <v>1</v>
      </c>
      <c r="R6" s="2" t="s">
        <v>50</v>
      </c>
      <c r="S6" s="2" t="s">
        <v>45</v>
      </c>
      <c r="T6" s="2" t="s">
        <v>74</v>
      </c>
      <c r="U6" s="2" t="s">
        <v>46</v>
      </c>
      <c r="V6" s="38">
        <v>44273.75</v>
      </c>
      <c r="W6" s="2" t="s">
        <v>47</v>
      </c>
      <c r="X6" s="4">
        <v>1.1631944444444444</v>
      </c>
      <c r="Y6">
        <v>4</v>
      </c>
      <c r="Z6">
        <v>0</v>
      </c>
      <c r="AA6" t="s">
        <v>48</v>
      </c>
      <c r="AB6" t="s">
        <v>49</v>
      </c>
    </row>
    <row r="7" spans="1:28" x14ac:dyDescent="0.3">
      <c r="A7" s="38">
        <v>44272.586805555555</v>
      </c>
      <c r="B7" s="39">
        <v>44272</v>
      </c>
      <c r="C7" s="3">
        <v>0.58680555555555558</v>
      </c>
      <c r="D7" s="2" t="s">
        <v>123</v>
      </c>
      <c r="E7" s="2" t="s">
        <v>288</v>
      </c>
      <c r="G7">
        <v>63752525</v>
      </c>
      <c r="H7">
        <v>63752885</v>
      </c>
      <c r="I7" s="2" t="s">
        <v>42</v>
      </c>
      <c r="J7" s="2" t="s">
        <v>43</v>
      </c>
      <c r="K7" s="2" t="s">
        <v>141</v>
      </c>
      <c r="L7" s="2" t="s">
        <v>89</v>
      </c>
      <c r="M7" s="2" t="s">
        <v>51</v>
      </c>
      <c r="N7" s="2" t="s">
        <v>44</v>
      </c>
      <c r="O7">
        <v>66</v>
      </c>
      <c r="P7">
        <v>0.80763600000000002</v>
      </c>
      <c r="Q7">
        <v>2</v>
      </c>
      <c r="R7" s="2" t="s">
        <v>50</v>
      </c>
      <c r="S7" s="2" t="s">
        <v>45</v>
      </c>
      <c r="T7" s="2" t="s">
        <v>92</v>
      </c>
      <c r="U7" s="2" t="s">
        <v>46</v>
      </c>
      <c r="V7" s="38">
        <v>44273.6875</v>
      </c>
      <c r="W7" s="2" t="s">
        <v>47</v>
      </c>
      <c r="X7" s="4">
        <v>1.1006944444444444</v>
      </c>
      <c r="Y7">
        <v>4</v>
      </c>
      <c r="Z7">
        <v>0</v>
      </c>
      <c r="AA7" t="s">
        <v>48</v>
      </c>
      <c r="AB7" t="s">
        <v>49</v>
      </c>
    </row>
    <row r="8" spans="1:28" x14ac:dyDescent="0.3">
      <c r="A8" s="38">
        <v>44272.586805555555</v>
      </c>
      <c r="B8" s="39">
        <v>44272</v>
      </c>
      <c r="C8" s="3">
        <v>0.58680555555555558</v>
      </c>
      <c r="D8" s="2" t="s">
        <v>123</v>
      </c>
      <c r="E8" s="2" t="s">
        <v>289</v>
      </c>
      <c r="G8">
        <v>63752525</v>
      </c>
      <c r="H8">
        <v>63752885</v>
      </c>
      <c r="I8" s="2" t="s">
        <v>42</v>
      </c>
      <c r="J8" s="2" t="s">
        <v>43</v>
      </c>
      <c r="K8" s="2" t="s">
        <v>141</v>
      </c>
      <c r="L8" s="2" t="s">
        <v>89</v>
      </c>
      <c r="M8" s="2" t="s">
        <v>51</v>
      </c>
      <c r="N8" s="2" t="s">
        <v>44</v>
      </c>
      <c r="O8">
        <v>1121</v>
      </c>
      <c r="P8">
        <v>11.937239</v>
      </c>
      <c r="Q8">
        <v>31</v>
      </c>
      <c r="R8" s="2" t="s">
        <v>50</v>
      </c>
      <c r="S8" s="2" t="s">
        <v>45</v>
      </c>
      <c r="T8" s="2" t="s">
        <v>74</v>
      </c>
      <c r="U8" s="2" t="s">
        <v>46</v>
      </c>
      <c r="V8" s="38">
        <v>44273.6875</v>
      </c>
      <c r="W8" s="2" t="s">
        <v>47</v>
      </c>
      <c r="X8" s="4">
        <v>1.1006944444444444</v>
      </c>
      <c r="Y8">
        <v>4</v>
      </c>
      <c r="Z8">
        <v>0</v>
      </c>
      <c r="AA8" t="s">
        <v>48</v>
      </c>
      <c r="AB8" t="s">
        <v>49</v>
      </c>
    </row>
    <row r="9" spans="1:28" x14ac:dyDescent="0.3">
      <c r="A9" s="38">
        <v>44272.586805555555</v>
      </c>
      <c r="B9" s="39">
        <v>44272</v>
      </c>
      <c r="C9" s="3">
        <v>0.58680555555555558</v>
      </c>
      <c r="D9" s="2" t="s">
        <v>123</v>
      </c>
      <c r="E9" s="2" t="s">
        <v>290</v>
      </c>
      <c r="G9">
        <v>63752525</v>
      </c>
      <c r="H9">
        <v>63752885</v>
      </c>
      <c r="I9" s="2" t="s">
        <v>42</v>
      </c>
      <c r="J9" s="2" t="s">
        <v>43</v>
      </c>
      <c r="K9" s="2" t="s">
        <v>142</v>
      </c>
      <c r="L9" s="2" t="s">
        <v>89</v>
      </c>
      <c r="M9" s="2" t="s">
        <v>73</v>
      </c>
      <c r="N9" s="2" t="s">
        <v>44</v>
      </c>
      <c r="O9">
        <v>830</v>
      </c>
      <c r="P9">
        <v>6.9784620000000004</v>
      </c>
      <c r="Q9">
        <v>5</v>
      </c>
      <c r="R9" s="2" t="s">
        <v>50</v>
      </c>
      <c r="S9" s="2" t="s">
        <v>45</v>
      </c>
      <c r="T9" s="2" t="s">
        <v>74</v>
      </c>
      <c r="U9" s="2" t="s">
        <v>46</v>
      </c>
      <c r="V9" s="38">
        <v>44273.75</v>
      </c>
      <c r="W9" s="2" t="s">
        <v>47</v>
      </c>
      <c r="X9" s="4">
        <v>1.1631944444444444</v>
      </c>
      <c r="Y9">
        <v>4</v>
      </c>
      <c r="Z9">
        <v>0</v>
      </c>
      <c r="AA9" t="s">
        <v>48</v>
      </c>
      <c r="AB9" t="s">
        <v>49</v>
      </c>
    </row>
    <row r="10" spans="1:28" x14ac:dyDescent="0.3">
      <c r="A10" s="38">
        <v>44272.586805555555</v>
      </c>
      <c r="B10" s="39">
        <v>44272</v>
      </c>
      <c r="C10" s="3">
        <v>0.58680555555555558</v>
      </c>
      <c r="D10" s="2" t="s">
        <v>123</v>
      </c>
      <c r="E10" s="2" t="s">
        <v>291</v>
      </c>
      <c r="G10">
        <v>63752525</v>
      </c>
      <c r="H10">
        <v>63752885</v>
      </c>
      <c r="I10" s="2" t="s">
        <v>42</v>
      </c>
      <c r="J10" s="2" t="s">
        <v>43</v>
      </c>
      <c r="K10" s="2" t="s">
        <v>292</v>
      </c>
      <c r="L10" s="2" t="s">
        <v>89</v>
      </c>
      <c r="M10" s="2" t="s">
        <v>68</v>
      </c>
      <c r="N10" s="2" t="s">
        <v>44</v>
      </c>
      <c r="O10">
        <v>669</v>
      </c>
      <c r="P10">
        <v>5.1329880000000001</v>
      </c>
      <c r="Q10">
        <v>16</v>
      </c>
      <c r="R10" s="2" t="s">
        <v>50</v>
      </c>
      <c r="S10" s="2" t="s">
        <v>293</v>
      </c>
      <c r="T10" s="2" t="s">
        <v>294</v>
      </c>
      <c r="U10" s="2" t="s">
        <v>42</v>
      </c>
      <c r="V10" s="38">
        <v>44273.708333333336</v>
      </c>
      <c r="W10" s="2" t="s">
        <v>47</v>
      </c>
      <c r="X10" s="4">
        <v>1.1215277777777777</v>
      </c>
      <c r="Y10">
        <v>4</v>
      </c>
      <c r="Z10">
        <v>0</v>
      </c>
      <c r="AA10" t="s">
        <v>48</v>
      </c>
      <c r="AB10" t="s">
        <v>49</v>
      </c>
    </row>
    <row r="11" spans="1:28" x14ac:dyDescent="0.3">
      <c r="A11" s="38">
        <v>44272.586805555555</v>
      </c>
      <c r="B11" s="39">
        <v>44272</v>
      </c>
      <c r="C11" s="3">
        <v>0.58680555555555558</v>
      </c>
      <c r="D11" s="2" t="s">
        <v>123</v>
      </c>
      <c r="E11" s="2" t="s">
        <v>295</v>
      </c>
      <c r="G11">
        <v>63752525</v>
      </c>
      <c r="H11">
        <v>63752885</v>
      </c>
      <c r="I11" s="2" t="s">
        <v>42</v>
      </c>
      <c r="J11" s="2" t="s">
        <v>43</v>
      </c>
      <c r="K11" s="2" t="s">
        <v>141</v>
      </c>
      <c r="L11" s="2" t="s">
        <v>89</v>
      </c>
      <c r="M11" s="2" t="s">
        <v>126</v>
      </c>
      <c r="N11" s="2" t="s">
        <v>44</v>
      </c>
      <c r="O11">
        <v>4580</v>
      </c>
      <c r="P11">
        <v>9.8555340000000005</v>
      </c>
      <c r="Q11">
        <v>30</v>
      </c>
      <c r="R11" s="2" t="s">
        <v>50</v>
      </c>
      <c r="S11" s="2" t="s">
        <v>45</v>
      </c>
      <c r="T11" s="2" t="s">
        <v>296</v>
      </c>
      <c r="U11" s="2" t="s">
        <v>57</v>
      </c>
      <c r="V11" s="38">
        <v>44273.6875</v>
      </c>
      <c r="W11" s="2" t="s">
        <v>47</v>
      </c>
      <c r="X11" s="4">
        <v>1.1006944444444444</v>
      </c>
      <c r="Y11">
        <v>4</v>
      </c>
      <c r="Z11">
        <v>0</v>
      </c>
      <c r="AA11" t="s">
        <v>48</v>
      </c>
      <c r="AB11" t="s">
        <v>49</v>
      </c>
    </row>
    <row r="12" spans="1:28" x14ac:dyDescent="0.3">
      <c r="A12" s="38">
        <v>44272.586805555555</v>
      </c>
      <c r="B12" s="39">
        <v>44272</v>
      </c>
      <c r="C12" s="3">
        <v>0.58680555555555558</v>
      </c>
      <c r="D12" s="2" t="s">
        <v>123</v>
      </c>
      <c r="E12" s="2" t="s">
        <v>297</v>
      </c>
      <c r="G12">
        <v>63752525</v>
      </c>
      <c r="H12">
        <v>63752885</v>
      </c>
      <c r="I12" s="2" t="s">
        <v>42</v>
      </c>
      <c r="J12" s="2" t="s">
        <v>43</v>
      </c>
      <c r="K12" s="2" t="s">
        <v>141</v>
      </c>
      <c r="L12" s="2" t="s">
        <v>89</v>
      </c>
      <c r="M12" s="2" t="s">
        <v>82</v>
      </c>
      <c r="N12" s="2" t="s">
        <v>44</v>
      </c>
      <c r="O12">
        <v>1894</v>
      </c>
      <c r="P12">
        <v>3.4723700000000002</v>
      </c>
      <c r="Q12">
        <v>4</v>
      </c>
      <c r="R12" s="2" t="s">
        <v>50</v>
      </c>
      <c r="S12" s="2" t="s">
        <v>45</v>
      </c>
      <c r="T12" s="2" t="s">
        <v>84</v>
      </c>
      <c r="U12" s="2" t="s">
        <v>46</v>
      </c>
      <c r="V12" s="38">
        <v>44273.6875</v>
      </c>
      <c r="W12" s="2" t="s">
        <v>47</v>
      </c>
      <c r="X12" s="4">
        <v>1.1006944444444444</v>
      </c>
      <c r="Y12">
        <v>4</v>
      </c>
      <c r="Z12">
        <v>0</v>
      </c>
      <c r="AA12" t="s">
        <v>48</v>
      </c>
      <c r="AB12" t="s">
        <v>49</v>
      </c>
    </row>
    <row r="13" spans="1:28" x14ac:dyDescent="0.3">
      <c r="A13" s="38">
        <v>44272.586805555555</v>
      </c>
      <c r="B13" s="39">
        <v>44272</v>
      </c>
      <c r="C13" s="3">
        <v>0.58680555555555558</v>
      </c>
      <c r="D13" s="2" t="s">
        <v>123</v>
      </c>
      <c r="E13" s="2" t="s">
        <v>298</v>
      </c>
      <c r="G13">
        <v>63752525</v>
      </c>
      <c r="H13">
        <v>63752885</v>
      </c>
      <c r="I13" s="2" t="s">
        <v>42</v>
      </c>
      <c r="J13" s="2" t="s">
        <v>43</v>
      </c>
      <c r="K13" s="2" t="s">
        <v>141</v>
      </c>
      <c r="L13" s="2" t="s">
        <v>89</v>
      </c>
      <c r="M13" s="2" t="s">
        <v>51</v>
      </c>
      <c r="N13" s="2" t="s">
        <v>44</v>
      </c>
      <c r="O13">
        <v>999</v>
      </c>
      <c r="P13">
        <v>8.5247919999999997</v>
      </c>
      <c r="Q13">
        <v>39</v>
      </c>
      <c r="R13" s="2" t="s">
        <v>50</v>
      </c>
      <c r="S13" s="2" t="s">
        <v>45</v>
      </c>
      <c r="T13" s="2" t="s">
        <v>117</v>
      </c>
      <c r="U13" s="2" t="s">
        <v>46</v>
      </c>
      <c r="V13" s="38">
        <v>44273.6875</v>
      </c>
      <c r="W13" s="2" t="s">
        <v>47</v>
      </c>
      <c r="X13" s="4">
        <v>1.1006944444444444</v>
      </c>
      <c r="Y13">
        <v>4</v>
      </c>
      <c r="Z13">
        <v>0</v>
      </c>
      <c r="AA13" t="s">
        <v>48</v>
      </c>
      <c r="AB13" t="s">
        <v>49</v>
      </c>
    </row>
    <row r="14" spans="1:28" x14ac:dyDescent="0.3">
      <c r="A14" s="38">
        <v>44272.586805555555</v>
      </c>
      <c r="B14" s="39">
        <v>44272</v>
      </c>
      <c r="C14" s="3">
        <v>0.58680555555555558</v>
      </c>
      <c r="D14" s="2" t="s">
        <v>123</v>
      </c>
      <c r="E14" s="2" t="s">
        <v>299</v>
      </c>
      <c r="G14">
        <v>63752525</v>
      </c>
      <c r="H14">
        <v>63752885</v>
      </c>
      <c r="I14" s="2" t="s">
        <v>42</v>
      </c>
      <c r="J14" s="2" t="s">
        <v>43</v>
      </c>
      <c r="K14" s="2" t="s">
        <v>143</v>
      </c>
      <c r="L14" s="2" t="s">
        <v>89</v>
      </c>
      <c r="M14" s="2" t="s">
        <v>82</v>
      </c>
      <c r="N14" s="2" t="s">
        <v>44</v>
      </c>
      <c r="O14">
        <v>2337</v>
      </c>
      <c r="P14">
        <v>9.0386970000000009</v>
      </c>
      <c r="Q14">
        <v>50</v>
      </c>
      <c r="R14" s="2" t="s">
        <v>50</v>
      </c>
      <c r="S14" s="2" t="s">
        <v>45</v>
      </c>
      <c r="T14" s="2" t="s">
        <v>300</v>
      </c>
      <c r="U14" s="2" t="s">
        <v>87</v>
      </c>
      <c r="V14" s="38">
        <v>44273.666666666664</v>
      </c>
      <c r="W14" s="2" t="s">
        <v>47</v>
      </c>
      <c r="X14" s="4">
        <v>1.0798611111111112</v>
      </c>
      <c r="Y14">
        <v>4</v>
      </c>
      <c r="Z14">
        <v>0</v>
      </c>
      <c r="AA14" t="s">
        <v>48</v>
      </c>
      <c r="AB14" t="s">
        <v>49</v>
      </c>
    </row>
    <row r="15" spans="1:28" x14ac:dyDescent="0.3">
      <c r="A15" s="38">
        <v>44272.590277777781</v>
      </c>
      <c r="B15" s="39">
        <v>44272</v>
      </c>
      <c r="C15" s="3">
        <v>0.59027777777777779</v>
      </c>
      <c r="D15" s="2" t="s">
        <v>134</v>
      </c>
      <c r="E15" s="2" t="s">
        <v>301</v>
      </c>
      <c r="G15">
        <v>63752530</v>
      </c>
      <c r="H15">
        <v>63752890</v>
      </c>
      <c r="I15" s="2" t="s">
        <v>42</v>
      </c>
      <c r="J15" s="2" t="s">
        <v>55</v>
      </c>
      <c r="K15" s="2" t="s">
        <v>137</v>
      </c>
      <c r="L15" s="2" t="s">
        <v>70</v>
      </c>
      <c r="M15" s="2" t="s">
        <v>83</v>
      </c>
      <c r="N15" s="2" t="s">
        <v>44</v>
      </c>
      <c r="O15">
        <v>430</v>
      </c>
      <c r="P15">
        <v>4.7031939999999999</v>
      </c>
      <c r="Q15">
        <v>5</v>
      </c>
      <c r="R15" s="2" t="s">
        <v>50</v>
      </c>
      <c r="S15" s="2" t="s">
        <v>85</v>
      </c>
      <c r="T15" s="2" t="s">
        <v>302</v>
      </c>
      <c r="U15" s="2" t="s">
        <v>46</v>
      </c>
      <c r="V15" s="38">
        <v>44272.666666666664</v>
      </c>
      <c r="W15" s="2" t="s">
        <v>47</v>
      </c>
      <c r="X15" s="4">
        <v>7.6388888888888895E-2</v>
      </c>
      <c r="Y15">
        <v>0</v>
      </c>
      <c r="Z15">
        <v>1</v>
      </c>
      <c r="AA15" t="s">
        <v>48</v>
      </c>
      <c r="AB15" t="s">
        <v>49</v>
      </c>
    </row>
    <row r="16" spans="1:28" x14ac:dyDescent="0.3">
      <c r="A16" s="38">
        <v>44272.590277777781</v>
      </c>
      <c r="B16" s="39">
        <v>44272</v>
      </c>
      <c r="C16" s="3">
        <v>0.59027777777777779</v>
      </c>
      <c r="D16" s="2" t="s">
        <v>134</v>
      </c>
      <c r="E16" s="2" t="s">
        <v>303</v>
      </c>
      <c r="G16">
        <v>63752530</v>
      </c>
      <c r="H16">
        <v>63752890</v>
      </c>
      <c r="I16" s="2" t="s">
        <v>42</v>
      </c>
      <c r="J16" s="2" t="s">
        <v>55</v>
      </c>
      <c r="K16" s="2" t="s">
        <v>304</v>
      </c>
      <c r="L16" s="2" t="s">
        <v>70</v>
      </c>
      <c r="M16" s="2" t="s">
        <v>76</v>
      </c>
      <c r="N16" s="2" t="s">
        <v>44</v>
      </c>
      <c r="O16">
        <v>1542.5</v>
      </c>
      <c r="P16">
        <v>4.6459999999999999</v>
      </c>
      <c r="Q16">
        <v>26</v>
      </c>
      <c r="R16" s="2" t="s">
        <v>50</v>
      </c>
      <c r="S16" s="2" t="s">
        <v>85</v>
      </c>
      <c r="T16" s="2" t="s">
        <v>305</v>
      </c>
      <c r="U16" s="2" t="s">
        <v>59</v>
      </c>
      <c r="V16" s="38">
        <v>44273.34375</v>
      </c>
      <c r="W16" s="2" t="s">
        <v>47</v>
      </c>
      <c r="X16" s="4">
        <v>0.75347222222222221</v>
      </c>
      <c r="Y16">
        <v>3</v>
      </c>
      <c r="Z16">
        <v>0</v>
      </c>
      <c r="AA16" t="s">
        <v>48</v>
      </c>
      <c r="AB16" t="s">
        <v>49</v>
      </c>
    </row>
    <row r="17" spans="1:28" x14ac:dyDescent="0.3">
      <c r="A17" s="38">
        <v>44272.590277777781</v>
      </c>
      <c r="B17" s="39">
        <v>44272</v>
      </c>
      <c r="C17" s="3">
        <v>0.59027777777777779</v>
      </c>
      <c r="D17" s="2" t="s">
        <v>134</v>
      </c>
      <c r="E17" s="2" t="s">
        <v>306</v>
      </c>
      <c r="G17">
        <v>63752530</v>
      </c>
      <c r="H17">
        <v>63752890</v>
      </c>
      <c r="I17" s="2" t="s">
        <v>42</v>
      </c>
      <c r="J17" s="2" t="s">
        <v>55</v>
      </c>
      <c r="K17" s="2" t="s">
        <v>137</v>
      </c>
      <c r="L17" s="2" t="s">
        <v>70</v>
      </c>
      <c r="M17" s="2" t="s">
        <v>83</v>
      </c>
      <c r="N17" s="2" t="s">
        <v>44</v>
      </c>
      <c r="O17">
        <v>1120</v>
      </c>
      <c r="P17">
        <v>4.7031939999999999</v>
      </c>
      <c r="Q17">
        <v>5</v>
      </c>
      <c r="R17" s="2" t="s">
        <v>50</v>
      </c>
      <c r="S17" s="2" t="s">
        <v>85</v>
      </c>
      <c r="T17" s="2" t="s">
        <v>302</v>
      </c>
      <c r="U17" s="2" t="s">
        <v>46</v>
      </c>
      <c r="V17" s="38">
        <v>44272.666666666664</v>
      </c>
      <c r="W17" s="2" t="s">
        <v>47</v>
      </c>
      <c r="X17" s="4">
        <v>7.6388888888888895E-2</v>
      </c>
      <c r="Y17">
        <v>0</v>
      </c>
      <c r="Z17">
        <v>1</v>
      </c>
      <c r="AA17" t="s">
        <v>48</v>
      </c>
      <c r="AB17" t="s">
        <v>49</v>
      </c>
    </row>
    <row r="18" spans="1:28" x14ac:dyDescent="0.3">
      <c r="A18" s="38">
        <v>44272.590277777781</v>
      </c>
      <c r="B18" s="39">
        <v>44272</v>
      </c>
      <c r="C18" s="3">
        <v>0.59027777777777779</v>
      </c>
      <c r="D18" s="2" t="s">
        <v>134</v>
      </c>
      <c r="E18" s="2" t="s">
        <v>307</v>
      </c>
      <c r="G18">
        <v>63752530</v>
      </c>
      <c r="H18">
        <v>63752890</v>
      </c>
      <c r="I18" s="2" t="s">
        <v>42</v>
      </c>
      <c r="J18" s="2" t="s">
        <v>52</v>
      </c>
      <c r="K18" s="2" t="s">
        <v>53</v>
      </c>
      <c r="L18" s="2" t="s">
        <v>70</v>
      </c>
      <c r="M18" s="2" t="s">
        <v>53</v>
      </c>
      <c r="N18" s="2" t="s">
        <v>44</v>
      </c>
      <c r="O18">
        <v>2073</v>
      </c>
      <c r="P18">
        <v>5.6107909999999999</v>
      </c>
      <c r="Q18">
        <v>22</v>
      </c>
      <c r="R18" s="2" t="s">
        <v>50</v>
      </c>
      <c r="S18" s="2" t="s">
        <v>53</v>
      </c>
      <c r="T18" s="2" t="s">
        <v>54</v>
      </c>
      <c r="U18" s="2" t="s">
        <v>53</v>
      </c>
      <c r="V18" s="38"/>
      <c r="W18" s="2" t="s">
        <v>53</v>
      </c>
      <c r="X18" s="4">
        <v>0.25</v>
      </c>
      <c r="Y18">
        <v>0</v>
      </c>
      <c r="Z18">
        <v>1</v>
      </c>
      <c r="AA18" t="s">
        <v>48</v>
      </c>
      <c r="AB18" t="s">
        <v>49</v>
      </c>
    </row>
    <row r="19" spans="1:28" x14ac:dyDescent="0.3">
      <c r="A19" s="38">
        <v>44272.590277777781</v>
      </c>
      <c r="B19" s="39">
        <v>44272</v>
      </c>
      <c r="C19" s="3">
        <v>0.59027777777777779</v>
      </c>
      <c r="D19" s="2" t="s">
        <v>134</v>
      </c>
      <c r="E19" s="2" t="s">
        <v>308</v>
      </c>
      <c r="G19">
        <v>63752530</v>
      </c>
      <c r="H19">
        <v>63752890</v>
      </c>
      <c r="I19" s="2" t="s">
        <v>42</v>
      </c>
      <c r="J19" s="2" t="s">
        <v>52</v>
      </c>
      <c r="K19" s="2" t="s">
        <v>53</v>
      </c>
      <c r="L19" s="2" t="s">
        <v>70</v>
      </c>
      <c r="M19" s="2" t="s">
        <v>53</v>
      </c>
      <c r="N19" s="2" t="s">
        <v>44</v>
      </c>
      <c r="O19">
        <v>1583.2</v>
      </c>
      <c r="P19">
        <v>10.201439000000001</v>
      </c>
      <c r="Q19">
        <v>40</v>
      </c>
      <c r="R19" s="2" t="s">
        <v>50</v>
      </c>
      <c r="S19" s="2" t="s">
        <v>53</v>
      </c>
      <c r="T19" s="2" t="s">
        <v>54</v>
      </c>
      <c r="U19" s="2" t="s">
        <v>53</v>
      </c>
      <c r="V19" s="38"/>
      <c r="W19" s="2" t="s">
        <v>53</v>
      </c>
      <c r="X19" s="4">
        <v>0.25</v>
      </c>
      <c r="Y19">
        <v>0</v>
      </c>
      <c r="Z19">
        <v>1</v>
      </c>
      <c r="AA19" t="s">
        <v>48</v>
      </c>
      <c r="AB19" t="s">
        <v>49</v>
      </c>
    </row>
    <row r="20" spans="1:28" x14ac:dyDescent="0.3">
      <c r="A20" s="38">
        <v>44272.590277777781</v>
      </c>
      <c r="B20" s="39">
        <v>44272</v>
      </c>
      <c r="C20" s="3">
        <v>0.59027777777777779</v>
      </c>
      <c r="D20" s="2" t="s">
        <v>134</v>
      </c>
      <c r="E20" s="2" t="s">
        <v>309</v>
      </c>
      <c r="G20">
        <v>63752530</v>
      </c>
      <c r="H20">
        <v>63752890</v>
      </c>
      <c r="I20" s="2" t="s">
        <v>42</v>
      </c>
      <c r="J20" s="2" t="s">
        <v>55</v>
      </c>
      <c r="K20" s="2" t="s">
        <v>137</v>
      </c>
      <c r="L20" s="2" t="s">
        <v>70</v>
      </c>
      <c r="M20" s="2" t="s">
        <v>83</v>
      </c>
      <c r="N20" s="2" t="s">
        <v>44</v>
      </c>
      <c r="O20">
        <v>1135</v>
      </c>
      <c r="P20">
        <v>12.228306</v>
      </c>
      <c r="Q20">
        <v>13</v>
      </c>
      <c r="R20" s="2" t="s">
        <v>50</v>
      </c>
      <c r="S20" s="2" t="s">
        <v>85</v>
      </c>
      <c r="T20" s="2" t="s">
        <v>302</v>
      </c>
      <c r="U20" s="2" t="s">
        <v>46</v>
      </c>
      <c r="V20" s="38">
        <v>44272.666666666664</v>
      </c>
      <c r="W20" s="2" t="s">
        <v>47</v>
      </c>
      <c r="X20" s="4">
        <v>7.6388888888888895E-2</v>
      </c>
      <c r="Y20">
        <v>0</v>
      </c>
      <c r="Z20">
        <v>1</v>
      </c>
      <c r="AA20" t="s">
        <v>48</v>
      </c>
      <c r="AB20" t="s">
        <v>49</v>
      </c>
    </row>
    <row r="21" spans="1:28" x14ac:dyDescent="0.3">
      <c r="A21" s="38">
        <v>44272.590277777781</v>
      </c>
      <c r="B21" s="39">
        <v>44272</v>
      </c>
      <c r="C21" s="3">
        <v>0.59027777777777779</v>
      </c>
      <c r="D21" s="2" t="s">
        <v>134</v>
      </c>
      <c r="E21" s="2" t="s">
        <v>310</v>
      </c>
      <c r="G21">
        <v>63752530</v>
      </c>
      <c r="H21">
        <v>63752890</v>
      </c>
      <c r="I21" s="2" t="s">
        <v>42</v>
      </c>
      <c r="J21" s="2" t="s">
        <v>52</v>
      </c>
      <c r="K21" s="2" t="s">
        <v>53</v>
      </c>
      <c r="L21" s="2" t="s">
        <v>70</v>
      </c>
      <c r="M21" s="2" t="s">
        <v>53</v>
      </c>
      <c r="N21" s="2" t="s">
        <v>44</v>
      </c>
      <c r="O21">
        <v>906.5</v>
      </c>
      <c r="P21">
        <v>10.201439000000001</v>
      </c>
      <c r="Q21">
        <v>40</v>
      </c>
      <c r="R21" s="2" t="s">
        <v>50</v>
      </c>
      <c r="S21" s="2" t="s">
        <v>53</v>
      </c>
      <c r="T21" s="2" t="s">
        <v>54</v>
      </c>
      <c r="U21" s="2" t="s">
        <v>53</v>
      </c>
      <c r="V21" s="38"/>
      <c r="W21" s="2" t="s">
        <v>53</v>
      </c>
      <c r="X21" s="4">
        <v>0.25</v>
      </c>
      <c r="Y21">
        <v>0</v>
      </c>
      <c r="Z21">
        <v>1</v>
      </c>
      <c r="AA21" t="s">
        <v>48</v>
      </c>
      <c r="AB21" t="s">
        <v>49</v>
      </c>
    </row>
    <row r="22" spans="1:28" x14ac:dyDescent="0.3">
      <c r="A22" s="38">
        <v>44272.590277777781</v>
      </c>
      <c r="B22" s="39">
        <v>44272</v>
      </c>
      <c r="C22" s="3">
        <v>0.59027777777777779</v>
      </c>
      <c r="D22" s="2" t="s">
        <v>134</v>
      </c>
      <c r="E22" s="2" t="s">
        <v>311</v>
      </c>
      <c r="G22">
        <v>63752530</v>
      </c>
      <c r="H22">
        <v>63752890</v>
      </c>
      <c r="I22" s="2" t="s">
        <v>42</v>
      </c>
      <c r="J22" s="2" t="s">
        <v>52</v>
      </c>
      <c r="K22" s="2" t="s">
        <v>53</v>
      </c>
      <c r="L22" s="2" t="s">
        <v>70</v>
      </c>
      <c r="M22" s="2" t="s">
        <v>53</v>
      </c>
      <c r="N22" s="2" t="s">
        <v>44</v>
      </c>
      <c r="O22">
        <v>1985.2</v>
      </c>
      <c r="P22">
        <v>9.4363309999999991</v>
      </c>
      <c r="Q22">
        <v>37</v>
      </c>
      <c r="R22" s="2" t="s">
        <v>50</v>
      </c>
      <c r="S22" s="2" t="s">
        <v>53</v>
      </c>
      <c r="T22" s="2" t="s">
        <v>54</v>
      </c>
      <c r="U22" s="2" t="s">
        <v>53</v>
      </c>
      <c r="V22" s="38"/>
      <c r="W22" s="2" t="s">
        <v>53</v>
      </c>
      <c r="X22" s="4">
        <v>0.25</v>
      </c>
      <c r="Y22">
        <v>0</v>
      </c>
      <c r="Z22">
        <v>1</v>
      </c>
      <c r="AA22" t="s">
        <v>48</v>
      </c>
      <c r="AB22" t="s">
        <v>49</v>
      </c>
    </row>
    <row r="23" spans="1:28" x14ac:dyDescent="0.3">
      <c r="A23" s="38">
        <v>44272.590277777781</v>
      </c>
      <c r="B23" s="39">
        <v>44272</v>
      </c>
      <c r="C23" s="3">
        <v>0.59027777777777779</v>
      </c>
      <c r="D23" s="2" t="s">
        <v>134</v>
      </c>
      <c r="E23" s="2" t="s">
        <v>312</v>
      </c>
      <c r="G23">
        <v>63752530</v>
      </c>
      <c r="H23">
        <v>63752890</v>
      </c>
      <c r="I23" s="2" t="s">
        <v>42</v>
      </c>
      <c r="J23" s="2" t="s">
        <v>55</v>
      </c>
      <c r="K23" s="2" t="s">
        <v>137</v>
      </c>
      <c r="L23" s="2" t="s">
        <v>70</v>
      </c>
      <c r="M23" s="2" t="s">
        <v>83</v>
      </c>
      <c r="N23" s="2" t="s">
        <v>44</v>
      </c>
      <c r="O23">
        <v>775</v>
      </c>
      <c r="P23">
        <v>4.7031939999999999</v>
      </c>
      <c r="Q23">
        <v>5</v>
      </c>
      <c r="R23" s="2" t="s">
        <v>50</v>
      </c>
      <c r="S23" s="2" t="s">
        <v>85</v>
      </c>
      <c r="T23" s="2" t="s">
        <v>302</v>
      </c>
      <c r="U23" s="2" t="s">
        <v>46</v>
      </c>
      <c r="V23" s="38">
        <v>44272.666666666664</v>
      </c>
      <c r="W23" s="2" t="s">
        <v>47</v>
      </c>
      <c r="X23" s="4">
        <v>7.6388888888888895E-2</v>
      </c>
      <c r="Y23">
        <v>0</v>
      </c>
      <c r="Z23">
        <v>1</v>
      </c>
      <c r="AA23" t="s">
        <v>48</v>
      </c>
      <c r="AB23" t="s">
        <v>49</v>
      </c>
    </row>
    <row r="24" spans="1:28" x14ac:dyDescent="0.3">
      <c r="A24" s="38">
        <v>44272.590277777781</v>
      </c>
      <c r="B24" s="39">
        <v>44272</v>
      </c>
      <c r="C24" s="3">
        <v>0.59027777777777779</v>
      </c>
      <c r="D24" s="2" t="s">
        <v>134</v>
      </c>
      <c r="E24" s="2" t="s">
        <v>313</v>
      </c>
      <c r="G24">
        <v>63752530</v>
      </c>
      <c r="H24">
        <v>63752890</v>
      </c>
      <c r="I24" s="2" t="s">
        <v>42</v>
      </c>
      <c r="J24" s="2" t="s">
        <v>55</v>
      </c>
      <c r="K24" s="2" t="s">
        <v>137</v>
      </c>
      <c r="L24" s="2" t="s">
        <v>70</v>
      </c>
      <c r="M24" s="2" t="s">
        <v>83</v>
      </c>
      <c r="N24" s="2" t="s">
        <v>44</v>
      </c>
      <c r="O24">
        <v>1400</v>
      </c>
      <c r="P24">
        <v>7.5251109999999999</v>
      </c>
      <c r="Q24">
        <v>8</v>
      </c>
      <c r="R24" s="2" t="s">
        <v>50</v>
      </c>
      <c r="S24" s="2" t="s">
        <v>85</v>
      </c>
      <c r="T24" s="2" t="s">
        <v>302</v>
      </c>
      <c r="U24" s="2" t="s">
        <v>46</v>
      </c>
      <c r="V24" s="38">
        <v>44272.666666666664</v>
      </c>
      <c r="W24" s="2" t="s">
        <v>47</v>
      </c>
      <c r="X24" s="4">
        <v>7.6388888888888895E-2</v>
      </c>
      <c r="Y24">
        <v>0</v>
      </c>
      <c r="Z24">
        <v>1</v>
      </c>
      <c r="AA24" t="s">
        <v>48</v>
      </c>
      <c r="AB24" t="s">
        <v>49</v>
      </c>
    </row>
    <row r="25" spans="1:28" x14ac:dyDescent="0.3">
      <c r="A25" s="38">
        <v>44272.607638888891</v>
      </c>
      <c r="B25" s="39">
        <v>44272</v>
      </c>
      <c r="C25" s="3">
        <v>0.60763888888888884</v>
      </c>
      <c r="D25" s="2" t="s">
        <v>135</v>
      </c>
      <c r="E25" s="2" t="s">
        <v>314</v>
      </c>
      <c r="G25">
        <v>63752555</v>
      </c>
      <c r="H25">
        <v>63752915</v>
      </c>
      <c r="I25" s="2" t="s">
        <v>101</v>
      </c>
      <c r="J25" s="2" t="s">
        <v>43</v>
      </c>
      <c r="K25" s="2" t="s">
        <v>145</v>
      </c>
      <c r="L25" s="2" t="s">
        <v>105</v>
      </c>
      <c r="M25" s="2" t="s">
        <v>82</v>
      </c>
      <c r="N25" s="2" t="s">
        <v>44</v>
      </c>
      <c r="O25">
        <v>9457.5</v>
      </c>
      <c r="P25">
        <v>57.175179</v>
      </c>
      <c r="Q25">
        <v>1135</v>
      </c>
      <c r="R25" s="2" t="s">
        <v>50</v>
      </c>
      <c r="S25" s="2" t="s">
        <v>45</v>
      </c>
      <c r="T25" s="2" t="s">
        <v>84</v>
      </c>
      <c r="U25" s="2" t="s">
        <v>46</v>
      </c>
      <c r="V25" s="38">
        <v>44273.75</v>
      </c>
      <c r="W25" s="2" t="s">
        <v>47</v>
      </c>
      <c r="X25" s="4">
        <v>1.1423611111111112</v>
      </c>
      <c r="Y25">
        <v>4</v>
      </c>
      <c r="Z25">
        <v>0</v>
      </c>
      <c r="AA25" t="s">
        <v>65</v>
      </c>
      <c r="AB25" t="s">
        <v>49</v>
      </c>
    </row>
    <row r="26" spans="1:28" x14ac:dyDescent="0.3">
      <c r="A26" s="38">
        <v>44272.607638888891</v>
      </c>
      <c r="B26" s="39">
        <v>44272</v>
      </c>
      <c r="C26" s="3">
        <v>0.60763888888888884</v>
      </c>
      <c r="D26" s="2" t="s">
        <v>135</v>
      </c>
      <c r="E26" s="2" t="s">
        <v>315</v>
      </c>
      <c r="G26">
        <v>63752555</v>
      </c>
      <c r="H26">
        <v>63752915</v>
      </c>
      <c r="I26" s="2" t="s">
        <v>101</v>
      </c>
      <c r="J26" s="2" t="s">
        <v>43</v>
      </c>
      <c r="K26" s="2" t="s">
        <v>146</v>
      </c>
      <c r="L26" s="2" t="s">
        <v>105</v>
      </c>
      <c r="M26" s="2" t="s">
        <v>75</v>
      </c>
      <c r="N26" s="2" t="s">
        <v>44</v>
      </c>
      <c r="O26">
        <v>2842</v>
      </c>
      <c r="P26">
        <v>23.9</v>
      </c>
      <c r="Q26">
        <v>257</v>
      </c>
      <c r="R26" s="2" t="s">
        <v>50</v>
      </c>
      <c r="S26" s="2" t="s">
        <v>45</v>
      </c>
      <c r="T26" s="2" t="s">
        <v>117</v>
      </c>
      <c r="U26" s="2" t="s">
        <v>46</v>
      </c>
      <c r="V26" s="38">
        <v>44273.791666666664</v>
      </c>
      <c r="W26" s="2" t="s">
        <v>47</v>
      </c>
      <c r="X26" s="4">
        <v>1.1840277777777777</v>
      </c>
      <c r="Y26">
        <v>4</v>
      </c>
      <c r="Z26">
        <v>0</v>
      </c>
      <c r="AA26" t="s">
        <v>65</v>
      </c>
      <c r="AB26" t="s">
        <v>49</v>
      </c>
    </row>
    <row r="27" spans="1:28" x14ac:dyDescent="0.3">
      <c r="A27" s="38">
        <v>44272.607638888891</v>
      </c>
      <c r="B27" s="39">
        <v>44272</v>
      </c>
      <c r="C27" s="3">
        <v>0.60763888888888884</v>
      </c>
      <c r="D27" s="2" t="s">
        <v>135</v>
      </c>
      <c r="E27" s="2" t="s">
        <v>316</v>
      </c>
      <c r="G27">
        <v>63752555</v>
      </c>
      <c r="H27">
        <v>63752915</v>
      </c>
      <c r="I27" s="2" t="s">
        <v>101</v>
      </c>
      <c r="J27" s="2" t="s">
        <v>43</v>
      </c>
      <c r="K27" s="2" t="s">
        <v>145</v>
      </c>
      <c r="L27" s="2" t="s">
        <v>105</v>
      </c>
      <c r="M27" s="2" t="s">
        <v>78</v>
      </c>
      <c r="N27" s="2" t="s">
        <v>44</v>
      </c>
      <c r="O27">
        <v>1493.6</v>
      </c>
      <c r="P27">
        <v>9.6341959999999993</v>
      </c>
      <c r="Q27">
        <v>45</v>
      </c>
      <c r="R27" s="2" t="s">
        <v>50</v>
      </c>
      <c r="S27" s="2" t="s">
        <v>90</v>
      </c>
      <c r="T27" s="2" t="s">
        <v>104</v>
      </c>
      <c r="U27" s="2" t="s">
        <v>46</v>
      </c>
      <c r="V27" s="38">
        <v>44273.75</v>
      </c>
      <c r="W27" s="2" t="s">
        <v>47</v>
      </c>
      <c r="X27" s="4">
        <v>1.1423611111111112</v>
      </c>
      <c r="Y27">
        <v>4</v>
      </c>
      <c r="Z27">
        <v>0</v>
      </c>
      <c r="AA27" t="s">
        <v>48</v>
      </c>
      <c r="AB27" t="s">
        <v>49</v>
      </c>
    </row>
    <row r="28" spans="1:28" x14ac:dyDescent="0.3">
      <c r="A28" s="38">
        <v>44272.607638888891</v>
      </c>
      <c r="B28" s="39">
        <v>44272</v>
      </c>
      <c r="C28" s="3">
        <v>0.60763888888888884</v>
      </c>
      <c r="D28" s="2" t="s">
        <v>135</v>
      </c>
      <c r="E28" s="2" t="s">
        <v>317</v>
      </c>
      <c r="G28">
        <v>63752555</v>
      </c>
      <c r="H28">
        <v>63752915</v>
      </c>
      <c r="I28" s="2" t="s">
        <v>101</v>
      </c>
      <c r="J28" s="2" t="s">
        <v>43</v>
      </c>
      <c r="K28" s="2" t="s">
        <v>143</v>
      </c>
      <c r="L28" s="2" t="s">
        <v>105</v>
      </c>
      <c r="M28" s="2" t="s">
        <v>126</v>
      </c>
      <c r="N28" s="2" t="s">
        <v>44</v>
      </c>
      <c r="O28">
        <v>3034.9</v>
      </c>
      <c r="P28">
        <v>8.7348590000000002</v>
      </c>
      <c r="Q28">
        <v>29</v>
      </c>
      <c r="R28" s="2" t="s">
        <v>50</v>
      </c>
      <c r="S28" s="2" t="s">
        <v>45</v>
      </c>
      <c r="T28" s="2" t="s">
        <v>104</v>
      </c>
      <c r="U28" s="2" t="s">
        <v>46</v>
      </c>
      <c r="V28" s="38">
        <v>44273.6875</v>
      </c>
      <c r="W28" s="2" t="s">
        <v>47</v>
      </c>
      <c r="X28" s="4">
        <v>1.0798611111111112</v>
      </c>
      <c r="Y28">
        <v>4</v>
      </c>
      <c r="Z28">
        <v>0</v>
      </c>
      <c r="AA28" t="s">
        <v>48</v>
      </c>
      <c r="AB28" t="s">
        <v>49</v>
      </c>
    </row>
    <row r="29" spans="1:28" x14ac:dyDescent="0.3">
      <c r="A29" s="38">
        <v>44272.607638888891</v>
      </c>
      <c r="B29" s="39">
        <v>44272</v>
      </c>
      <c r="C29" s="3">
        <v>0.60763888888888884</v>
      </c>
      <c r="D29" s="2" t="s">
        <v>135</v>
      </c>
      <c r="E29" s="2" t="s">
        <v>318</v>
      </c>
      <c r="G29">
        <v>63752555</v>
      </c>
      <c r="H29">
        <v>63752915</v>
      </c>
      <c r="I29" s="2" t="s">
        <v>101</v>
      </c>
      <c r="J29" s="2" t="s">
        <v>55</v>
      </c>
      <c r="K29" s="2" t="s">
        <v>319</v>
      </c>
      <c r="L29" s="2" t="s">
        <v>105</v>
      </c>
      <c r="M29" s="2" t="s">
        <v>78</v>
      </c>
      <c r="N29" s="2" t="s">
        <v>44</v>
      </c>
      <c r="O29">
        <v>3953.3</v>
      </c>
      <c r="P29">
        <v>10.525793999999999</v>
      </c>
      <c r="Q29">
        <v>38</v>
      </c>
      <c r="R29" s="2" t="s">
        <v>50</v>
      </c>
      <c r="S29" s="2" t="s">
        <v>85</v>
      </c>
      <c r="T29" s="2" t="s">
        <v>104</v>
      </c>
      <c r="U29" s="2" t="s">
        <v>46</v>
      </c>
      <c r="V29" s="38">
        <v>44273.458333333336</v>
      </c>
      <c r="W29" s="2" t="s">
        <v>47</v>
      </c>
      <c r="X29" s="4">
        <v>0.85069444444444442</v>
      </c>
      <c r="Y29">
        <v>3</v>
      </c>
      <c r="Z29">
        <v>0</v>
      </c>
      <c r="AA29" t="s">
        <v>48</v>
      </c>
      <c r="AB29" t="s">
        <v>49</v>
      </c>
    </row>
    <row r="30" spans="1:28" x14ac:dyDescent="0.3">
      <c r="A30" s="38">
        <v>44272.607638888891</v>
      </c>
      <c r="B30" s="39">
        <v>44272</v>
      </c>
      <c r="C30" s="3">
        <v>0.60763888888888884</v>
      </c>
      <c r="D30" s="2" t="s">
        <v>135</v>
      </c>
      <c r="E30" s="2" t="s">
        <v>320</v>
      </c>
      <c r="G30">
        <v>63752555</v>
      </c>
      <c r="H30">
        <v>63752915</v>
      </c>
      <c r="I30" s="2" t="s">
        <v>101</v>
      </c>
      <c r="J30" s="2" t="s">
        <v>55</v>
      </c>
      <c r="K30" s="2" t="s">
        <v>319</v>
      </c>
      <c r="L30" s="2" t="s">
        <v>105</v>
      </c>
      <c r="M30" s="2" t="s">
        <v>103</v>
      </c>
      <c r="N30" s="2" t="s">
        <v>44</v>
      </c>
      <c r="O30">
        <v>1600</v>
      </c>
      <c r="P30">
        <v>11.170768000000001</v>
      </c>
      <c r="Q30">
        <v>23</v>
      </c>
      <c r="R30" s="2" t="s">
        <v>50</v>
      </c>
      <c r="S30" s="2" t="s">
        <v>45</v>
      </c>
      <c r="T30" s="2" t="s">
        <v>74</v>
      </c>
      <c r="U30" s="2" t="s">
        <v>46</v>
      </c>
      <c r="V30" s="38">
        <v>44273.458333333336</v>
      </c>
      <c r="W30" s="2" t="s">
        <v>47</v>
      </c>
      <c r="X30" s="4">
        <v>0.85069444444444442</v>
      </c>
      <c r="Y30">
        <v>3</v>
      </c>
      <c r="Z30">
        <v>0</v>
      </c>
      <c r="AA30" t="s">
        <v>48</v>
      </c>
      <c r="AB30" t="s">
        <v>49</v>
      </c>
    </row>
    <row r="31" spans="1:28" x14ac:dyDescent="0.3">
      <c r="A31" s="38">
        <v>44272.607638888891</v>
      </c>
      <c r="B31" s="39">
        <v>44272</v>
      </c>
      <c r="C31" s="3">
        <v>0.60763888888888884</v>
      </c>
      <c r="D31" s="2" t="s">
        <v>135</v>
      </c>
      <c r="E31" s="2" t="s">
        <v>321</v>
      </c>
      <c r="G31">
        <v>63752555</v>
      </c>
      <c r="H31">
        <v>63752915</v>
      </c>
      <c r="I31" s="2" t="s">
        <v>101</v>
      </c>
      <c r="J31" s="2" t="s">
        <v>55</v>
      </c>
      <c r="K31" s="2" t="s">
        <v>319</v>
      </c>
      <c r="L31" s="2" t="s">
        <v>105</v>
      </c>
      <c r="M31" s="2" t="s">
        <v>78</v>
      </c>
      <c r="N31" s="2" t="s">
        <v>44</v>
      </c>
      <c r="O31">
        <v>4064.2</v>
      </c>
      <c r="P31">
        <v>9.8374400000000009</v>
      </c>
      <c r="Q31">
        <v>37</v>
      </c>
      <c r="R31" s="2" t="s">
        <v>50</v>
      </c>
      <c r="S31" s="2" t="s">
        <v>85</v>
      </c>
      <c r="T31" s="2" t="s">
        <v>104</v>
      </c>
      <c r="U31" s="2" t="s">
        <v>46</v>
      </c>
      <c r="V31" s="38">
        <v>44273.458333333336</v>
      </c>
      <c r="W31" s="2" t="s">
        <v>47</v>
      </c>
      <c r="X31" s="4">
        <v>0.85069444444444442</v>
      </c>
      <c r="Y31">
        <v>3</v>
      </c>
      <c r="Z31">
        <v>0</v>
      </c>
      <c r="AA31" t="s">
        <v>48</v>
      </c>
      <c r="AB31" t="s">
        <v>49</v>
      </c>
    </row>
    <row r="32" spans="1:28" x14ac:dyDescent="0.3">
      <c r="A32" s="38">
        <v>44272.607638888891</v>
      </c>
      <c r="B32" s="39">
        <v>44272</v>
      </c>
      <c r="C32" s="3">
        <v>0.60763888888888884</v>
      </c>
      <c r="D32" s="2" t="s">
        <v>135</v>
      </c>
      <c r="E32" s="2" t="s">
        <v>322</v>
      </c>
      <c r="G32">
        <v>63752555</v>
      </c>
      <c r="H32">
        <v>63752915</v>
      </c>
      <c r="I32" s="2" t="s">
        <v>101</v>
      </c>
      <c r="J32" s="2" t="s">
        <v>55</v>
      </c>
      <c r="K32" s="2" t="s">
        <v>319</v>
      </c>
      <c r="L32" s="2" t="s">
        <v>105</v>
      </c>
      <c r="M32" s="2" t="s">
        <v>83</v>
      </c>
      <c r="N32" s="2" t="s">
        <v>44</v>
      </c>
      <c r="O32">
        <v>1684.3</v>
      </c>
      <c r="P32">
        <v>10.601407999999999</v>
      </c>
      <c r="Q32">
        <v>38</v>
      </c>
      <c r="R32" s="2" t="s">
        <v>50</v>
      </c>
      <c r="S32" s="2" t="s">
        <v>45</v>
      </c>
      <c r="T32" s="2" t="s">
        <v>104</v>
      </c>
      <c r="U32" s="2" t="s">
        <v>46</v>
      </c>
      <c r="V32" s="38">
        <v>44273.458333333336</v>
      </c>
      <c r="W32" s="2" t="s">
        <v>47</v>
      </c>
      <c r="X32" s="4">
        <v>0.85069444444444442</v>
      </c>
      <c r="Y32">
        <v>3</v>
      </c>
      <c r="Z32">
        <v>0</v>
      </c>
      <c r="AA32" t="s">
        <v>48</v>
      </c>
      <c r="AB32" t="s">
        <v>49</v>
      </c>
    </row>
    <row r="33" spans="1:28" x14ac:dyDescent="0.3">
      <c r="A33" s="38">
        <v>44272.607638888891</v>
      </c>
      <c r="B33" s="39">
        <v>44272</v>
      </c>
      <c r="C33" s="3">
        <v>0.60763888888888884</v>
      </c>
      <c r="D33" s="2" t="s">
        <v>135</v>
      </c>
      <c r="E33" s="2" t="s">
        <v>323</v>
      </c>
      <c r="G33">
        <v>63752555</v>
      </c>
      <c r="H33">
        <v>63752915</v>
      </c>
      <c r="I33" s="2" t="s">
        <v>101</v>
      </c>
      <c r="J33" s="2" t="s">
        <v>43</v>
      </c>
      <c r="K33" s="2" t="s">
        <v>146</v>
      </c>
      <c r="L33" s="2" t="s">
        <v>105</v>
      </c>
      <c r="M33" s="2" t="s">
        <v>82</v>
      </c>
      <c r="N33" s="2" t="s">
        <v>44</v>
      </c>
      <c r="O33">
        <v>2186.8000000000002</v>
      </c>
      <c r="P33">
        <v>11.545667</v>
      </c>
      <c r="Q33">
        <v>20</v>
      </c>
      <c r="R33" s="2" t="s">
        <v>50</v>
      </c>
      <c r="S33" s="2" t="s">
        <v>45</v>
      </c>
      <c r="T33" s="2" t="s">
        <v>84</v>
      </c>
      <c r="U33" s="2" t="s">
        <v>46</v>
      </c>
      <c r="V33" s="38">
        <v>44273.791666666664</v>
      </c>
      <c r="W33" s="2" t="s">
        <v>47</v>
      </c>
      <c r="X33" s="4">
        <v>1.1840277777777777</v>
      </c>
      <c r="Y33">
        <v>4</v>
      </c>
      <c r="Z33">
        <v>0</v>
      </c>
      <c r="AA33" t="s">
        <v>48</v>
      </c>
      <c r="AB33" t="s">
        <v>49</v>
      </c>
    </row>
    <row r="34" spans="1:28" x14ac:dyDescent="0.3">
      <c r="A34" s="38">
        <v>44272.607638888891</v>
      </c>
      <c r="B34" s="39">
        <v>44272</v>
      </c>
      <c r="C34" s="3">
        <v>0.60763888888888884</v>
      </c>
      <c r="D34" s="2" t="s">
        <v>135</v>
      </c>
      <c r="E34" s="2" t="s">
        <v>324</v>
      </c>
      <c r="G34">
        <v>63752555</v>
      </c>
      <c r="H34">
        <v>63752915</v>
      </c>
      <c r="I34" s="2" t="s">
        <v>101</v>
      </c>
      <c r="J34" s="2" t="s">
        <v>43</v>
      </c>
      <c r="K34" s="2" t="s">
        <v>145</v>
      </c>
      <c r="L34" s="2" t="s">
        <v>105</v>
      </c>
      <c r="M34" s="2" t="s">
        <v>75</v>
      </c>
      <c r="N34" s="2" t="s">
        <v>44</v>
      </c>
      <c r="O34">
        <v>1855.3</v>
      </c>
      <c r="P34">
        <v>8.8358310000000007</v>
      </c>
      <c r="Q34">
        <v>45</v>
      </c>
      <c r="R34" s="2" t="s">
        <v>50</v>
      </c>
      <c r="S34" s="2" t="s">
        <v>45</v>
      </c>
      <c r="T34" s="2" t="s">
        <v>104</v>
      </c>
      <c r="U34" s="2" t="s">
        <v>46</v>
      </c>
      <c r="V34" s="38">
        <v>44273.75</v>
      </c>
      <c r="W34" s="2" t="s">
        <v>47</v>
      </c>
      <c r="X34" s="4">
        <v>1.1423611111111112</v>
      </c>
      <c r="Y34">
        <v>4</v>
      </c>
      <c r="Z34">
        <v>0</v>
      </c>
      <c r="AA34" t="s">
        <v>48</v>
      </c>
      <c r="AB34" t="s">
        <v>49</v>
      </c>
    </row>
    <row r="35" spans="1:28" x14ac:dyDescent="0.3">
      <c r="A35" s="38">
        <v>44272.607638888891</v>
      </c>
      <c r="B35" s="39">
        <v>44272</v>
      </c>
      <c r="C35" s="3">
        <v>0.60763888888888884</v>
      </c>
      <c r="D35" s="2" t="s">
        <v>135</v>
      </c>
      <c r="E35" s="2" t="s">
        <v>325</v>
      </c>
      <c r="G35">
        <v>63752555</v>
      </c>
      <c r="H35">
        <v>63752915</v>
      </c>
      <c r="I35" s="2" t="s">
        <v>101</v>
      </c>
      <c r="J35" s="2" t="s">
        <v>55</v>
      </c>
      <c r="K35" s="2" t="s">
        <v>319</v>
      </c>
      <c r="L35" s="2" t="s">
        <v>105</v>
      </c>
      <c r="M35" s="2" t="s">
        <v>82</v>
      </c>
      <c r="N35" s="2" t="s">
        <v>44</v>
      </c>
      <c r="O35">
        <v>2087.6999999999998</v>
      </c>
      <c r="P35">
        <v>10.117969</v>
      </c>
      <c r="Q35">
        <v>39</v>
      </c>
      <c r="R35" s="2" t="s">
        <v>50</v>
      </c>
      <c r="S35" s="2" t="s">
        <v>91</v>
      </c>
      <c r="T35" s="2" t="s">
        <v>149</v>
      </c>
      <c r="U35" s="2" t="s">
        <v>59</v>
      </c>
      <c r="V35" s="38">
        <v>44273.458333333336</v>
      </c>
      <c r="W35" s="2" t="s">
        <v>47</v>
      </c>
      <c r="X35" s="4">
        <v>0.85069444444444442</v>
      </c>
      <c r="Y35">
        <v>3</v>
      </c>
      <c r="Z35">
        <v>0</v>
      </c>
      <c r="AA35" t="s">
        <v>48</v>
      </c>
      <c r="AB35" t="s">
        <v>49</v>
      </c>
    </row>
    <row r="36" spans="1:28" x14ac:dyDescent="0.3">
      <c r="A36" s="38">
        <v>44272.607638888891</v>
      </c>
      <c r="B36" s="39">
        <v>44272</v>
      </c>
      <c r="C36" s="3">
        <v>0.60763888888888884</v>
      </c>
      <c r="D36" s="2" t="s">
        <v>135</v>
      </c>
      <c r="E36" s="2" t="s">
        <v>326</v>
      </c>
      <c r="G36">
        <v>63752555</v>
      </c>
      <c r="H36">
        <v>63752915</v>
      </c>
      <c r="I36" s="2" t="s">
        <v>101</v>
      </c>
      <c r="J36" s="2" t="s">
        <v>43</v>
      </c>
      <c r="K36" s="2" t="s">
        <v>145</v>
      </c>
      <c r="L36" s="2" t="s">
        <v>105</v>
      </c>
      <c r="M36" s="2" t="s">
        <v>73</v>
      </c>
      <c r="N36" s="2" t="s">
        <v>44</v>
      </c>
      <c r="O36">
        <v>1424.2</v>
      </c>
      <c r="P36">
        <v>9.1909329999999994</v>
      </c>
      <c r="Q36">
        <v>10</v>
      </c>
      <c r="R36" s="2" t="s">
        <v>50</v>
      </c>
      <c r="S36" s="2" t="s">
        <v>45</v>
      </c>
      <c r="T36" s="2" t="s">
        <v>74</v>
      </c>
      <c r="U36" s="2" t="s">
        <v>46</v>
      </c>
      <c r="V36" s="38">
        <v>44273.75</v>
      </c>
      <c r="W36" s="2" t="s">
        <v>47</v>
      </c>
      <c r="X36" s="4">
        <v>1.1423611111111112</v>
      </c>
      <c r="Y36">
        <v>4</v>
      </c>
      <c r="Z36">
        <v>0</v>
      </c>
      <c r="AA36" t="s">
        <v>48</v>
      </c>
      <c r="AB36" t="s">
        <v>49</v>
      </c>
    </row>
    <row r="37" spans="1:28" x14ac:dyDescent="0.3">
      <c r="A37" s="38">
        <v>44272.607638888891</v>
      </c>
      <c r="B37" s="39">
        <v>44272</v>
      </c>
      <c r="C37" s="3">
        <v>0.60763888888888884</v>
      </c>
      <c r="D37" s="2" t="s">
        <v>135</v>
      </c>
      <c r="E37" s="2" t="s">
        <v>327</v>
      </c>
      <c r="G37">
        <v>63752555</v>
      </c>
      <c r="H37">
        <v>63752915</v>
      </c>
      <c r="I37" s="2" t="s">
        <v>101</v>
      </c>
      <c r="J37" s="2" t="s">
        <v>55</v>
      </c>
      <c r="K37" s="2" t="s">
        <v>319</v>
      </c>
      <c r="L37" s="2" t="s">
        <v>105</v>
      </c>
      <c r="M37" s="2" t="s">
        <v>75</v>
      </c>
      <c r="N37" s="2" t="s">
        <v>44</v>
      </c>
      <c r="O37">
        <v>2136.8000000000002</v>
      </c>
      <c r="P37">
        <v>11.337797999999999</v>
      </c>
      <c r="Q37">
        <v>64</v>
      </c>
      <c r="R37" s="2" t="s">
        <v>50</v>
      </c>
      <c r="S37" s="2" t="s">
        <v>45</v>
      </c>
      <c r="T37" s="2" t="s">
        <v>74</v>
      </c>
      <c r="U37" s="2" t="s">
        <v>46</v>
      </c>
      <c r="V37" s="38">
        <v>44273.458333333336</v>
      </c>
      <c r="W37" s="2" t="s">
        <v>47</v>
      </c>
      <c r="X37" s="4">
        <v>0.85069444444444442</v>
      </c>
      <c r="Y37">
        <v>3</v>
      </c>
      <c r="Z37">
        <v>0</v>
      </c>
      <c r="AA37" t="s">
        <v>48</v>
      </c>
      <c r="AB37" t="s">
        <v>49</v>
      </c>
    </row>
    <row r="38" spans="1:28" x14ac:dyDescent="0.3">
      <c r="A38" s="38">
        <v>44272.611111111109</v>
      </c>
      <c r="B38" s="39">
        <v>44272</v>
      </c>
      <c r="C38" s="3">
        <v>0.61111111111111116</v>
      </c>
      <c r="D38" s="2" t="s">
        <v>147</v>
      </c>
      <c r="E38" s="2" t="s">
        <v>328</v>
      </c>
      <c r="G38">
        <v>63752560</v>
      </c>
      <c r="H38">
        <v>63752920</v>
      </c>
      <c r="I38" s="2" t="s">
        <v>42</v>
      </c>
      <c r="J38" s="2" t="s">
        <v>55</v>
      </c>
      <c r="K38" s="2" t="s">
        <v>329</v>
      </c>
      <c r="L38" s="2" t="s">
        <v>139</v>
      </c>
      <c r="M38" s="2" t="s">
        <v>68</v>
      </c>
      <c r="N38" s="2" t="s">
        <v>44</v>
      </c>
      <c r="O38">
        <v>1629.9</v>
      </c>
      <c r="P38">
        <v>9.2132729999999992</v>
      </c>
      <c r="Q38">
        <v>12</v>
      </c>
      <c r="R38" s="2" t="s">
        <v>50</v>
      </c>
      <c r="S38" s="2" t="s">
        <v>85</v>
      </c>
      <c r="T38" s="2" t="s">
        <v>330</v>
      </c>
      <c r="U38" s="2" t="s">
        <v>42</v>
      </c>
      <c r="V38" s="38">
        <v>44272.708333333336</v>
      </c>
      <c r="W38" s="2" t="s">
        <v>47</v>
      </c>
      <c r="X38" s="4">
        <v>9.7222222222222224E-2</v>
      </c>
      <c r="Y38">
        <v>0</v>
      </c>
      <c r="Z38">
        <v>1</v>
      </c>
      <c r="AA38" t="s">
        <v>48</v>
      </c>
      <c r="AB38" t="s">
        <v>49</v>
      </c>
    </row>
    <row r="39" spans="1:28" x14ac:dyDescent="0.3">
      <c r="A39" s="38">
        <v>44272.611111111109</v>
      </c>
      <c r="B39" s="39">
        <v>44272</v>
      </c>
      <c r="C39" s="3">
        <v>0.61111111111111116</v>
      </c>
      <c r="D39" s="2" t="s">
        <v>147</v>
      </c>
      <c r="E39" s="2" t="s">
        <v>331</v>
      </c>
      <c r="G39">
        <v>63752560</v>
      </c>
      <c r="H39">
        <v>63752920</v>
      </c>
      <c r="I39" s="2" t="s">
        <v>42</v>
      </c>
      <c r="J39" s="2" t="s">
        <v>55</v>
      </c>
      <c r="K39" s="2" t="s">
        <v>329</v>
      </c>
      <c r="L39" s="2" t="s">
        <v>139</v>
      </c>
      <c r="M39" s="2" t="s">
        <v>68</v>
      </c>
      <c r="N39" s="2" t="s">
        <v>44</v>
      </c>
      <c r="O39">
        <v>2969</v>
      </c>
      <c r="P39">
        <v>9.2132729999999992</v>
      </c>
      <c r="Q39">
        <v>12</v>
      </c>
      <c r="R39" s="2" t="s">
        <v>50</v>
      </c>
      <c r="S39" s="2" t="s">
        <v>85</v>
      </c>
      <c r="T39" s="2" t="s">
        <v>330</v>
      </c>
      <c r="U39" s="2" t="s">
        <v>42</v>
      </c>
      <c r="V39" s="38">
        <v>44272.708333333336</v>
      </c>
      <c r="W39" s="2" t="s">
        <v>47</v>
      </c>
      <c r="X39" s="4">
        <v>9.7222222222222224E-2</v>
      </c>
      <c r="Y39">
        <v>0</v>
      </c>
      <c r="Z39">
        <v>1</v>
      </c>
      <c r="AA39" t="s">
        <v>48</v>
      </c>
      <c r="AB39" t="s">
        <v>49</v>
      </c>
    </row>
    <row r="40" spans="1:28" x14ac:dyDescent="0.3">
      <c r="A40" s="38">
        <v>44272.611111111109</v>
      </c>
      <c r="B40" s="39">
        <v>44272</v>
      </c>
      <c r="C40" s="3">
        <v>0.61111111111111116</v>
      </c>
      <c r="D40" s="2" t="s">
        <v>147</v>
      </c>
      <c r="E40" s="2" t="s">
        <v>332</v>
      </c>
      <c r="G40">
        <v>63752560</v>
      </c>
      <c r="H40">
        <v>63752920</v>
      </c>
      <c r="I40" s="2" t="s">
        <v>42</v>
      </c>
      <c r="J40" s="2" t="s">
        <v>55</v>
      </c>
      <c r="K40" s="2" t="s">
        <v>329</v>
      </c>
      <c r="L40" s="2" t="s">
        <v>139</v>
      </c>
      <c r="M40" s="2" t="s">
        <v>68</v>
      </c>
      <c r="N40" s="2" t="s">
        <v>44</v>
      </c>
      <c r="O40">
        <v>2760</v>
      </c>
      <c r="P40">
        <v>9.2132729999999992</v>
      </c>
      <c r="Q40">
        <v>12</v>
      </c>
      <c r="R40" s="2" t="s">
        <v>50</v>
      </c>
      <c r="S40" s="2" t="s">
        <v>85</v>
      </c>
      <c r="T40" s="2" t="s">
        <v>330</v>
      </c>
      <c r="U40" s="2" t="s">
        <v>42</v>
      </c>
      <c r="V40" s="38">
        <v>44272.708333333336</v>
      </c>
      <c r="W40" s="2" t="s">
        <v>47</v>
      </c>
      <c r="X40" s="4">
        <v>9.7222222222222224E-2</v>
      </c>
      <c r="Y40">
        <v>0</v>
      </c>
      <c r="Z40">
        <v>1</v>
      </c>
      <c r="AA40" t="s">
        <v>48</v>
      </c>
      <c r="AB40" t="s">
        <v>49</v>
      </c>
    </row>
    <row r="41" spans="1:28" x14ac:dyDescent="0.3">
      <c r="A41" s="38">
        <v>44272.611111111109</v>
      </c>
      <c r="B41" s="39">
        <v>44272</v>
      </c>
      <c r="C41" s="3">
        <v>0.61111111111111116</v>
      </c>
      <c r="D41" s="2" t="s">
        <v>147</v>
      </c>
      <c r="E41" s="2" t="s">
        <v>333</v>
      </c>
      <c r="G41">
        <v>63752560</v>
      </c>
      <c r="H41">
        <v>63752920</v>
      </c>
      <c r="I41" s="2" t="s">
        <v>42</v>
      </c>
      <c r="J41" s="2" t="s">
        <v>55</v>
      </c>
      <c r="K41" s="2" t="s">
        <v>329</v>
      </c>
      <c r="L41" s="2" t="s">
        <v>139</v>
      </c>
      <c r="M41" s="2" t="s">
        <v>68</v>
      </c>
      <c r="N41" s="2" t="s">
        <v>44</v>
      </c>
      <c r="O41">
        <v>1600</v>
      </c>
      <c r="P41">
        <v>9.2132729999999992</v>
      </c>
      <c r="Q41">
        <v>12</v>
      </c>
      <c r="R41" s="2" t="s">
        <v>50</v>
      </c>
      <c r="S41" s="2" t="s">
        <v>85</v>
      </c>
      <c r="T41" s="2" t="s">
        <v>330</v>
      </c>
      <c r="U41" s="2" t="s">
        <v>42</v>
      </c>
      <c r="V41" s="38">
        <v>44272.708333333336</v>
      </c>
      <c r="W41" s="2" t="s">
        <v>47</v>
      </c>
      <c r="X41" s="4">
        <v>9.7222222222222224E-2</v>
      </c>
      <c r="Y41">
        <v>0</v>
      </c>
      <c r="Z41">
        <v>1</v>
      </c>
      <c r="AA41" t="s">
        <v>48</v>
      </c>
      <c r="AB41" t="s">
        <v>49</v>
      </c>
    </row>
    <row r="42" spans="1:28" x14ac:dyDescent="0.3">
      <c r="A42" s="38">
        <v>44272.611111111109</v>
      </c>
      <c r="B42" s="39">
        <v>44272</v>
      </c>
      <c r="C42" s="3">
        <v>0.61111111111111116</v>
      </c>
      <c r="D42" s="2" t="s">
        <v>147</v>
      </c>
      <c r="E42" s="2" t="s">
        <v>334</v>
      </c>
      <c r="G42">
        <v>63752560</v>
      </c>
      <c r="H42">
        <v>63752920</v>
      </c>
      <c r="I42" s="2" t="s">
        <v>42</v>
      </c>
      <c r="J42" s="2" t="s">
        <v>55</v>
      </c>
      <c r="K42" s="2" t="s">
        <v>329</v>
      </c>
      <c r="L42" s="2" t="s">
        <v>139</v>
      </c>
      <c r="M42" s="2" t="s">
        <v>68</v>
      </c>
      <c r="N42" s="2" t="s">
        <v>44</v>
      </c>
      <c r="O42">
        <v>2900</v>
      </c>
      <c r="P42">
        <v>9.2132729999999992</v>
      </c>
      <c r="Q42">
        <v>12</v>
      </c>
      <c r="R42" s="2" t="s">
        <v>50</v>
      </c>
      <c r="S42" s="2" t="s">
        <v>85</v>
      </c>
      <c r="T42" s="2" t="s">
        <v>330</v>
      </c>
      <c r="U42" s="2" t="s">
        <v>42</v>
      </c>
      <c r="V42" s="38">
        <v>44272.708333333336</v>
      </c>
      <c r="W42" s="2" t="s">
        <v>47</v>
      </c>
      <c r="X42" s="4">
        <v>9.7222222222222224E-2</v>
      </c>
      <c r="Y42">
        <v>0</v>
      </c>
      <c r="Z42">
        <v>1</v>
      </c>
      <c r="AA42" t="s">
        <v>48</v>
      </c>
      <c r="AB42" t="s">
        <v>49</v>
      </c>
    </row>
    <row r="43" spans="1:28" x14ac:dyDescent="0.3">
      <c r="A43" s="38">
        <v>44272.611111111109</v>
      </c>
      <c r="B43" s="39">
        <v>44272</v>
      </c>
      <c r="C43" s="3">
        <v>0.61111111111111116</v>
      </c>
      <c r="D43" s="2" t="s">
        <v>147</v>
      </c>
      <c r="E43" s="2" t="s">
        <v>335</v>
      </c>
      <c r="G43">
        <v>63752560</v>
      </c>
      <c r="H43">
        <v>63752920</v>
      </c>
      <c r="I43" s="2" t="s">
        <v>42</v>
      </c>
      <c r="J43" s="2" t="s">
        <v>55</v>
      </c>
      <c r="K43" s="2" t="s">
        <v>329</v>
      </c>
      <c r="L43" s="2" t="s">
        <v>139</v>
      </c>
      <c r="M43" s="2" t="s">
        <v>68</v>
      </c>
      <c r="N43" s="2" t="s">
        <v>44</v>
      </c>
      <c r="O43">
        <v>1940</v>
      </c>
      <c r="P43">
        <v>9.2132729999999992</v>
      </c>
      <c r="Q43">
        <v>12</v>
      </c>
      <c r="R43" s="2" t="s">
        <v>50</v>
      </c>
      <c r="S43" s="2" t="s">
        <v>85</v>
      </c>
      <c r="T43" s="2" t="s">
        <v>330</v>
      </c>
      <c r="U43" s="2" t="s">
        <v>42</v>
      </c>
      <c r="V43" s="38">
        <v>44272.708333333336</v>
      </c>
      <c r="W43" s="2" t="s">
        <v>47</v>
      </c>
      <c r="X43" s="4">
        <v>9.7222222222222224E-2</v>
      </c>
      <c r="Y43">
        <v>0</v>
      </c>
      <c r="Z43">
        <v>1</v>
      </c>
      <c r="AA43" t="s">
        <v>48</v>
      </c>
      <c r="AB43" t="s">
        <v>49</v>
      </c>
    </row>
    <row r="44" spans="1:28" x14ac:dyDescent="0.3">
      <c r="A44" s="38">
        <v>44272.611111111109</v>
      </c>
      <c r="B44" s="39">
        <v>44272</v>
      </c>
      <c r="C44" s="3">
        <v>0.61111111111111116</v>
      </c>
      <c r="D44" s="2" t="s">
        <v>147</v>
      </c>
      <c r="E44" s="2" t="s">
        <v>336</v>
      </c>
      <c r="G44">
        <v>63752560</v>
      </c>
      <c r="H44">
        <v>63752920</v>
      </c>
      <c r="I44" s="2" t="s">
        <v>42</v>
      </c>
      <c r="J44" s="2" t="s">
        <v>55</v>
      </c>
      <c r="K44" s="2" t="s">
        <v>329</v>
      </c>
      <c r="L44" s="2" t="s">
        <v>139</v>
      </c>
      <c r="M44" s="2" t="s">
        <v>68</v>
      </c>
      <c r="N44" s="2" t="s">
        <v>44</v>
      </c>
      <c r="O44">
        <v>1580</v>
      </c>
      <c r="P44">
        <v>9.2132729999999992</v>
      </c>
      <c r="Q44">
        <v>12</v>
      </c>
      <c r="R44" s="2" t="s">
        <v>50</v>
      </c>
      <c r="S44" s="2" t="s">
        <v>85</v>
      </c>
      <c r="T44" s="2" t="s">
        <v>330</v>
      </c>
      <c r="U44" s="2" t="s">
        <v>42</v>
      </c>
      <c r="V44" s="38">
        <v>44272.708333333336</v>
      </c>
      <c r="W44" s="2" t="s">
        <v>47</v>
      </c>
      <c r="X44" s="4">
        <v>9.7222222222222224E-2</v>
      </c>
      <c r="Y44">
        <v>0</v>
      </c>
      <c r="Z44">
        <v>1</v>
      </c>
      <c r="AA44" t="s">
        <v>48</v>
      </c>
      <c r="AB44" t="s">
        <v>49</v>
      </c>
    </row>
    <row r="45" spans="1:28" x14ac:dyDescent="0.3">
      <c r="A45" s="38">
        <v>44272.611111111109</v>
      </c>
      <c r="B45" s="39">
        <v>44272</v>
      </c>
      <c r="C45" s="3">
        <v>0.61111111111111116</v>
      </c>
      <c r="D45" s="2" t="s">
        <v>147</v>
      </c>
      <c r="E45" s="2" t="s">
        <v>337</v>
      </c>
      <c r="G45">
        <v>63752560</v>
      </c>
      <c r="H45">
        <v>63752920</v>
      </c>
      <c r="I45" s="2" t="s">
        <v>42</v>
      </c>
      <c r="J45" s="2" t="s">
        <v>55</v>
      </c>
      <c r="K45" s="2" t="s">
        <v>329</v>
      </c>
      <c r="L45" s="2" t="s">
        <v>139</v>
      </c>
      <c r="M45" s="2" t="s">
        <v>68</v>
      </c>
      <c r="N45" s="2" t="s">
        <v>44</v>
      </c>
      <c r="O45">
        <v>3275</v>
      </c>
      <c r="P45">
        <v>9.2132729999999992</v>
      </c>
      <c r="Q45">
        <v>12</v>
      </c>
      <c r="R45" s="2" t="s">
        <v>50</v>
      </c>
      <c r="S45" s="2" t="s">
        <v>85</v>
      </c>
      <c r="T45" s="2" t="s">
        <v>330</v>
      </c>
      <c r="U45" s="2" t="s">
        <v>42</v>
      </c>
      <c r="V45" s="38">
        <v>44272.708333333336</v>
      </c>
      <c r="W45" s="2" t="s">
        <v>47</v>
      </c>
      <c r="X45" s="4">
        <v>9.7222222222222224E-2</v>
      </c>
      <c r="Y45">
        <v>0</v>
      </c>
      <c r="Z45">
        <v>1</v>
      </c>
      <c r="AA45" t="s">
        <v>48</v>
      </c>
      <c r="AB45" t="s">
        <v>49</v>
      </c>
    </row>
    <row r="46" spans="1:28" x14ac:dyDescent="0.3">
      <c r="A46" s="38">
        <v>44272.611111111109</v>
      </c>
      <c r="B46" s="39">
        <v>44272</v>
      </c>
      <c r="C46" s="3">
        <v>0.61111111111111116</v>
      </c>
      <c r="D46" s="2" t="s">
        <v>147</v>
      </c>
      <c r="E46" s="2" t="s">
        <v>338</v>
      </c>
      <c r="G46">
        <v>63752560</v>
      </c>
      <c r="H46">
        <v>63752920</v>
      </c>
      <c r="I46" s="2" t="s">
        <v>42</v>
      </c>
      <c r="J46" s="2" t="s">
        <v>55</v>
      </c>
      <c r="K46" s="2" t="s">
        <v>329</v>
      </c>
      <c r="L46" s="2" t="s">
        <v>139</v>
      </c>
      <c r="M46" s="2" t="s">
        <v>68</v>
      </c>
      <c r="N46" s="2" t="s">
        <v>44</v>
      </c>
      <c r="O46">
        <v>2980</v>
      </c>
      <c r="P46">
        <v>9.2132729999999992</v>
      </c>
      <c r="Q46">
        <v>12</v>
      </c>
      <c r="R46" s="2" t="s">
        <v>50</v>
      </c>
      <c r="S46" s="2" t="s">
        <v>85</v>
      </c>
      <c r="T46" s="2" t="s">
        <v>330</v>
      </c>
      <c r="U46" s="2" t="s">
        <v>42</v>
      </c>
      <c r="V46" s="38">
        <v>44272.708333333336</v>
      </c>
      <c r="W46" s="2" t="s">
        <v>47</v>
      </c>
      <c r="X46" s="4">
        <v>9.7222222222222224E-2</v>
      </c>
      <c r="Y46">
        <v>0</v>
      </c>
      <c r="Z46">
        <v>1</v>
      </c>
      <c r="AA46" t="s">
        <v>48</v>
      </c>
      <c r="AB46" t="s">
        <v>49</v>
      </c>
    </row>
    <row r="47" spans="1:28" x14ac:dyDescent="0.3">
      <c r="A47" s="38">
        <v>44272.611111111109</v>
      </c>
      <c r="B47" s="39">
        <v>44272</v>
      </c>
      <c r="C47" s="3">
        <v>0.61111111111111116</v>
      </c>
      <c r="D47" s="2" t="s">
        <v>147</v>
      </c>
      <c r="E47" s="2" t="s">
        <v>339</v>
      </c>
      <c r="G47">
        <v>63752560</v>
      </c>
      <c r="H47">
        <v>63752920</v>
      </c>
      <c r="I47" s="2" t="s">
        <v>42</v>
      </c>
      <c r="J47" s="2" t="s">
        <v>55</v>
      </c>
      <c r="K47" s="2" t="s">
        <v>329</v>
      </c>
      <c r="L47" s="2" t="s">
        <v>139</v>
      </c>
      <c r="M47" s="2" t="s">
        <v>68</v>
      </c>
      <c r="N47" s="2" t="s">
        <v>44</v>
      </c>
      <c r="O47">
        <v>2550</v>
      </c>
      <c r="P47">
        <v>9.2132729999999992</v>
      </c>
      <c r="Q47">
        <v>12</v>
      </c>
      <c r="R47" s="2" t="s">
        <v>50</v>
      </c>
      <c r="S47" s="2" t="s">
        <v>85</v>
      </c>
      <c r="T47" s="2" t="s">
        <v>330</v>
      </c>
      <c r="U47" s="2" t="s">
        <v>42</v>
      </c>
      <c r="V47" s="38">
        <v>44272.708333333336</v>
      </c>
      <c r="W47" s="2" t="s">
        <v>47</v>
      </c>
      <c r="X47" s="4">
        <v>9.7222222222222224E-2</v>
      </c>
      <c r="Y47">
        <v>0</v>
      </c>
      <c r="Z47">
        <v>1</v>
      </c>
      <c r="AA47" t="s">
        <v>48</v>
      </c>
      <c r="AB47" t="s">
        <v>49</v>
      </c>
    </row>
    <row r="48" spans="1:28" x14ac:dyDescent="0.3">
      <c r="A48" s="38">
        <v>44272.611111111109</v>
      </c>
      <c r="B48" s="39">
        <v>44272</v>
      </c>
      <c r="C48" s="3">
        <v>0.61111111111111116</v>
      </c>
      <c r="D48" s="2" t="s">
        <v>147</v>
      </c>
      <c r="E48" s="2" t="s">
        <v>340</v>
      </c>
      <c r="G48">
        <v>63752560</v>
      </c>
      <c r="H48">
        <v>63752920</v>
      </c>
      <c r="I48" s="2" t="s">
        <v>42</v>
      </c>
      <c r="J48" s="2" t="s">
        <v>55</v>
      </c>
      <c r="K48" s="2" t="s">
        <v>329</v>
      </c>
      <c r="L48" s="2" t="s">
        <v>139</v>
      </c>
      <c r="M48" s="2" t="s">
        <v>68</v>
      </c>
      <c r="N48" s="2" t="s">
        <v>44</v>
      </c>
      <c r="O48">
        <v>1760</v>
      </c>
      <c r="P48">
        <v>9.2132729999999992</v>
      </c>
      <c r="Q48">
        <v>12</v>
      </c>
      <c r="R48" s="2" t="s">
        <v>50</v>
      </c>
      <c r="S48" s="2" t="s">
        <v>85</v>
      </c>
      <c r="T48" s="2" t="s">
        <v>330</v>
      </c>
      <c r="U48" s="2" t="s">
        <v>42</v>
      </c>
      <c r="V48" s="38">
        <v>44272.708333333336</v>
      </c>
      <c r="W48" s="2" t="s">
        <v>47</v>
      </c>
      <c r="X48" s="4">
        <v>9.7222222222222224E-2</v>
      </c>
      <c r="Y48">
        <v>0</v>
      </c>
      <c r="Z48">
        <v>1</v>
      </c>
      <c r="AA48" t="s">
        <v>48</v>
      </c>
      <c r="AB48" t="s">
        <v>49</v>
      </c>
    </row>
    <row r="49" spans="1:28" x14ac:dyDescent="0.3">
      <c r="A49" s="38">
        <v>44272.614583333336</v>
      </c>
      <c r="B49" s="39">
        <v>44272</v>
      </c>
      <c r="C49" s="3">
        <v>0.61458333333333337</v>
      </c>
      <c r="D49" s="2" t="s">
        <v>341</v>
      </c>
      <c r="E49" s="2" t="s">
        <v>53</v>
      </c>
      <c r="G49">
        <v>63752565</v>
      </c>
      <c r="H49">
        <v>63752925</v>
      </c>
      <c r="I49" s="2" t="s">
        <v>57</v>
      </c>
      <c r="J49" s="2" t="s">
        <v>55</v>
      </c>
      <c r="K49" s="2" t="s">
        <v>342</v>
      </c>
      <c r="L49" s="2" t="s">
        <v>144</v>
      </c>
      <c r="M49" s="2" t="s">
        <v>56</v>
      </c>
      <c r="N49" s="2" t="s">
        <v>44</v>
      </c>
      <c r="R49" s="2" t="s">
        <v>50</v>
      </c>
      <c r="S49" s="2" t="s">
        <v>45</v>
      </c>
      <c r="T49" s="2" t="s">
        <v>343</v>
      </c>
      <c r="U49" s="2" t="s">
        <v>59</v>
      </c>
      <c r="V49" s="38">
        <v>44272.996527777781</v>
      </c>
      <c r="W49" s="2" t="s">
        <v>47</v>
      </c>
      <c r="X49" s="4">
        <v>0.38194444444444442</v>
      </c>
      <c r="Y49">
        <v>1</v>
      </c>
      <c r="Z49">
        <v>0</v>
      </c>
      <c r="AA49" t="s">
        <v>72</v>
      </c>
      <c r="AB49" t="s">
        <v>58</v>
      </c>
    </row>
    <row r="50" spans="1:28" x14ac:dyDescent="0.3">
      <c r="A50" s="38">
        <v>44272.625</v>
      </c>
      <c r="B50" s="39">
        <v>44272</v>
      </c>
      <c r="C50" s="3">
        <v>0.625</v>
      </c>
      <c r="D50" s="2" t="s">
        <v>124</v>
      </c>
      <c r="E50" s="2" t="s">
        <v>266</v>
      </c>
      <c r="G50">
        <v>63752580</v>
      </c>
      <c r="H50">
        <v>63752940</v>
      </c>
      <c r="I50" s="2" t="s">
        <v>42</v>
      </c>
      <c r="J50" s="2" t="s">
        <v>52</v>
      </c>
      <c r="K50" s="2" t="s">
        <v>53</v>
      </c>
      <c r="L50" s="2" t="s">
        <v>67</v>
      </c>
      <c r="M50" s="2" t="s">
        <v>53</v>
      </c>
      <c r="N50" s="2" t="s">
        <v>44</v>
      </c>
      <c r="O50">
        <v>623</v>
      </c>
      <c r="P50">
        <v>3.2661380000000002</v>
      </c>
      <c r="Q50">
        <v>61</v>
      </c>
      <c r="R50" s="2" t="s">
        <v>50</v>
      </c>
      <c r="S50" s="2" t="s">
        <v>53</v>
      </c>
      <c r="T50" s="2" t="s">
        <v>54</v>
      </c>
      <c r="U50" s="2" t="s">
        <v>53</v>
      </c>
      <c r="V50" s="38"/>
      <c r="W50" s="2" t="s">
        <v>53</v>
      </c>
      <c r="X50" s="4">
        <v>0.25</v>
      </c>
      <c r="Y50">
        <v>0</v>
      </c>
      <c r="Z50">
        <v>0</v>
      </c>
      <c r="AA50" t="s">
        <v>48</v>
      </c>
      <c r="AB50" t="s">
        <v>49</v>
      </c>
    </row>
    <row r="51" spans="1:28" x14ac:dyDescent="0.3">
      <c r="A51" s="38">
        <v>44272.625</v>
      </c>
      <c r="B51" s="39">
        <v>44272</v>
      </c>
      <c r="C51" s="3">
        <v>0.625</v>
      </c>
      <c r="D51" s="2" t="s">
        <v>124</v>
      </c>
      <c r="E51" s="2" t="s">
        <v>344</v>
      </c>
      <c r="G51">
        <v>63752580</v>
      </c>
      <c r="H51">
        <v>63752940</v>
      </c>
      <c r="I51" s="2" t="s">
        <v>42</v>
      </c>
      <c r="J51" s="2" t="s">
        <v>43</v>
      </c>
      <c r="K51" s="2" t="s">
        <v>118</v>
      </c>
      <c r="L51" s="2" t="s">
        <v>67</v>
      </c>
      <c r="M51" s="2" t="s">
        <v>51</v>
      </c>
      <c r="N51" s="2" t="s">
        <v>44</v>
      </c>
      <c r="O51">
        <v>855</v>
      </c>
      <c r="P51">
        <v>5.9294950000000002</v>
      </c>
      <c r="Q51">
        <v>71</v>
      </c>
      <c r="R51" s="2" t="s">
        <v>50</v>
      </c>
      <c r="S51" s="2" t="s">
        <v>45</v>
      </c>
      <c r="T51" s="2" t="s">
        <v>92</v>
      </c>
      <c r="U51" s="2" t="s">
        <v>46</v>
      </c>
      <c r="V51" s="38">
        <v>44273.6875</v>
      </c>
      <c r="W51" s="2" t="s">
        <v>47</v>
      </c>
      <c r="X51" s="4">
        <v>1.0625</v>
      </c>
      <c r="Y51">
        <v>4</v>
      </c>
      <c r="Z51">
        <v>0</v>
      </c>
      <c r="AA51" t="s">
        <v>48</v>
      </c>
      <c r="AB51" t="s">
        <v>49</v>
      </c>
    </row>
    <row r="52" spans="1:28" x14ac:dyDescent="0.3">
      <c r="A52" s="38">
        <v>44272.625</v>
      </c>
      <c r="B52" s="39">
        <v>44272</v>
      </c>
      <c r="C52" s="3">
        <v>0.625</v>
      </c>
      <c r="D52" s="2" t="s">
        <v>124</v>
      </c>
      <c r="E52" s="2" t="s">
        <v>271</v>
      </c>
      <c r="G52">
        <v>63752580</v>
      </c>
      <c r="H52">
        <v>63752940</v>
      </c>
      <c r="I52" s="2" t="s">
        <v>42</v>
      </c>
      <c r="J52" s="2" t="s">
        <v>55</v>
      </c>
      <c r="K52" s="2" t="s">
        <v>148</v>
      </c>
      <c r="L52" s="2" t="s">
        <v>67</v>
      </c>
      <c r="M52" s="2" t="s">
        <v>127</v>
      </c>
      <c r="N52" s="2" t="s">
        <v>44</v>
      </c>
      <c r="O52">
        <v>1800</v>
      </c>
      <c r="P52">
        <v>16.149999999999999</v>
      </c>
      <c r="Q52">
        <v>42</v>
      </c>
      <c r="R52" s="2" t="s">
        <v>50</v>
      </c>
      <c r="S52" s="2" t="s">
        <v>90</v>
      </c>
      <c r="T52" s="2" t="s">
        <v>294</v>
      </c>
      <c r="U52" s="2" t="s">
        <v>42</v>
      </c>
      <c r="V52" s="38">
        <v>44273.329861111109</v>
      </c>
      <c r="W52" s="2" t="s">
        <v>47</v>
      </c>
      <c r="X52" s="4">
        <v>0.70486111111111116</v>
      </c>
      <c r="Y52">
        <v>2</v>
      </c>
      <c r="Z52">
        <v>0</v>
      </c>
      <c r="AA52" t="s">
        <v>48</v>
      </c>
      <c r="AB52" t="s">
        <v>49</v>
      </c>
    </row>
    <row r="53" spans="1:28" x14ac:dyDescent="0.3">
      <c r="A53" s="38">
        <v>44272.625</v>
      </c>
      <c r="B53" s="39">
        <v>44272</v>
      </c>
      <c r="C53" s="3">
        <v>0.625</v>
      </c>
      <c r="D53" s="2" t="s">
        <v>124</v>
      </c>
      <c r="E53" s="2" t="s">
        <v>272</v>
      </c>
      <c r="G53">
        <v>63752580</v>
      </c>
      <c r="H53">
        <v>63752940</v>
      </c>
      <c r="I53" s="2" t="s">
        <v>42</v>
      </c>
      <c r="J53" s="2" t="s">
        <v>43</v>
      </c>
      <c r="K53" s="2" t="s">
        <v>125</v>
      </c>
      <c r="L53" s="2" t="s">
        <v>67</v>
      </c>
      <c r="M53" s="2" t="s">
        <v>78</v>
      </c>
      <c r="N53" s="2" t="s">
        <v>44</v>
      </c>
      <c r="O53">
        <v>1148</v>
      </c>
      <c r="P53">
        <v>6.9110110000000002</v>
      </c>
      <c r="Q53">
        <v>46</v>
      </c>
      <c r="R53" s="2" t="s">
        <v>50</v>
      </c>
      <c r="S53" s="2" t="s">
        <v>91</v>
      </c>
      <c r="T53" s="2" t="s">
        <v>294</v>
      </c>
      <c r="U53" s="2" t="s">
        <v>42</v>
      </c>
      <c r="V53" s="38">
        <v>44273.708333333336</v>
      </c>
      <c r="W53" s="2" t="s">
        <v>47</v>
      </c>
      <c r="X53" s="4">
        <v>1.0833333333333333</v>
      </c>
      <c r="Y53">
        <v>4</v>
      </c>
      <c r="Z53">
        <v>0</v>
      </c>
      <c r="AA53" t="s">
        <v>48</v>
      </c>
      <c r="AB53" t="s">
        <v>49</v>
      </c>
    </row>
    <row r="54" spans="1:28" x14ac:dyDescent="0.3">
      <c r="A54" s="38">
        <v>44272.625</v>
      </c>
      <c r="B54" s="39">
        <v>44272</v>
      </c>
      <c r="C54" s="3">
        <v>0.625</v>
      </c>
      <c r="D54" s="2" t="s">
        <v>124</v>
      </c>
      <c r="E54" s="2" t="s">
        <v>270</v>
      </c>
      <c r="G54">
        <v>63752580</v>
      </c>
      <c r="H54">
        <v>63752940</v>
      </c>
      <c r="I54" s="2" t="s">
        <v>42</v>
      </c>
      <c r="J54" s="2" t="s">
        <v>43</v>
      </c>
      <c r="K54" s="2" t="s">
        <v>125</v>
      </c>
      <c r="L54" s="2" t="s">
        <v>67</v>
      </c>
      <c r="M54" s="2" t="s">
        <v>78</v>
      </c>
      <c r="N54" s="2" t="s">
        <v>44</v>
      </c>
      <c r="O54">
        <v>553</v>
      </c>
      <c r="P54">
        <v>3.37799</v>
      </c>
      <c r="Q54">
        <v>20</v>
      </c>
      <c r="R54" s="2" t="s">
        <v>50</v>
      </c>
      <c r="S54" s="2" t="s">
        <v>90</v>
      </c>
      <c r="T54" s="2" t="s">
        <v>294</v>
      </c>
      <c r="U54" s="2" t="s">
        <v>42</v>
      </c>
      <c r="V54" s="38">
        <v>44273.708333333336</v>
      </c>
      <c r="W54" s="2" t="s">
        <v>47</v>
      </c>
      <c r="X54" s="4">
        <v>1.0833333333333333</v>
      </c>
      <c r="Y54">
        <v>4</v>
      </c>
      <c r="Z54">
        <v>0</v>
      </c>
      <c r="AA54" t="s">
        <v>48</v>
      </c>
      <c r="AB54" t="s">
        <v>49</v>
      </c>
    </row>
    <row r="55" spans="1:28" x14ac:dyDescent="0.3">
      <c r="A55" s="38">
        <v>44272.625</v>
      </c>
      <c r="B55" s="39">
        <v>44272</v>
      </c>
      <c r="C55" s="3">
        <v>0.625</v>
      </c>
      <c r="D55" s="2" t="s">
        <v>124</v>
      </c>
      <c r="E55" s="2" t="s">
        <v>267</v>
      </c>
      <c r="G55">
        <v>63752580</v>
      </c>
      <c r="H55">
        <v>63752940</v>
      </c>
      <c r="I55" s="2" t="s">
        <v>42</v>
      </c>
      <c r="J55" s="2" t="s">
        <v>43</v>
      </c>
      <c r="K55" s="2" t="s">
        <v>118</v>
      </c>
      <c r="L55" s="2" t="s">
        <v>67</v>
      </c>
      <c r="M55" s="2" t="s">
        <v>127</v>
      </c>
      <c r="N55" s="2" t="s">
        <v>44</v>
      </c>
      <c r="O55">
        <v>2630</v>
      </c>
      <c r="P55">
        <v>19.871494999999999</v>
      </c>
      <c r="Q55">
        <v>37</v>
      </c>
      <c r="R55" s="2" t="s">
        <v>50</v>
      </c>
      <c r="S55" s="2" t="s">
        <v>90</v>
      </c>
      <c r="T55" s="2" t="s">
        <v>294</v>
      </c>
      <c r="U55" s="2" t="s">
        <v>42</v>
      </c>
      <c r="V55" s="38">
        <v>44273.6875</v>
      </c>
      <c r="W55" s="2" t="s">
        <v>47</v>
      </c>
      <c r="X55" s="4">
        <v>1.0625</v>
      </c>
      <c r="Y55">
        <v>4</v>
      </c>
      <c r="Z55">
        <v>0</v>
      </c>
      <c r="AA55" t="s">
        <v>48</v>
      </c>
      <c r="AB55" t="s">
        <v>49</v>
      </c>
    </row>
    <row r="56" spans="1:28" x14ac:dyDescent="0.3">
      <c r="A56" s="38">
        <v>44272.625</v>
      </c>
      <c r="B56" s="39">
        <v>44272</v>
      </c>
      <c r="C56" s="3">
        <v>0.625</v>
      </c>
      <c r="D56" s="2" t="s">
        <v>124</v>
      </c>
      <c r="E56" s="2" t="s">
        <v>263</v>
      </c>
      <c r="G56">
        <v>63752580</v>
      </c>
      <c r="H56">
        <v>63752940</v>
      </c>
      <c r="I56" s="2" t="s">
        <v>42</v>
      </c>
      <c r="J56" s="2" t="s">
        <v>43</v>
      </c>
      <c r="K56" s="2" t="s">
        <v>118</v>
      </c>
      <c r="L56" s="2" t="s">
        <v>67</v>
      </c>
      <c r="M56" s="2" t="s">
        <v>51</v>
      </c>
      <c r="N56" s="2" t="s">
        <v>44</v>
      </c>
      <c r="O56">
        <v>2380</v>
      </c>
      <c r="P56">
        <v>11.44</v>
      </c>
      <c r="Q56">
        <v>13</v>
      </c>
      <c r="R56" s="2" t="s">
        <v>50</v>
      </c>
      <c r="S56" s="2" t="s">
        <v>90</v>
      </c>
      <c r="T56" s="2" t="s">
        <v>92</v>
      </c>
      <c r="U56" s="2" t="s">
        <v>46</v>
      </c>
      <c r="V56" s="38">
        <v>44273.6875</v>
      </c>
      <c r="W56" s="2" t="s">
        <v>47</v>
      </c>
      <c r="X56" s="4">
        <v>1.0625</v>
      </c>
      <c r="Y56">
        <v>4</v>
      </c>
      <c r="Z56">
        <v>0</v>
      </c>
      <c r="AA56" t="s">
        <v>48</v>
      </c>
      <c r="AB56" t="s">
        <v>49</v>
      </c>
    </row>
    <row r="57" spans="1:28" x14ac:dyDescent="0.3">
      <c r="A57" s="38">
        <v>44272.625</v>
      </c>
      <c r="B57" s="39">
        <v>44272</v>
      </c>
      <c r="C57" s="3">
        <v>0.625</v>
      </c>
      <c r="D57" s="2" t="s">
        <v>124</v>
      </c>
      <c r="E57" s="2" t="s">
        <v>262</v>
      </c>
      <c r="G57">
        <v>63752580</v>
      </c>
      <c r="H57">
        <v>63752940</v>
      </c>
      <c r="I57" s="2" t="s">
        <v>42</v>
      </c>
      <c r="J57" s="2" t="s">
        <v>43</v>
      </c>
      <c r="K57" s="2" t="s">
        <v>118</v>
      </c>
      <c r="L57" s="2" t="s">
        <v>67</v>
      </c>
      <c r="M57" s="2" t="s">
        <v>51</v>
      </c>
      <c r="N57" s="2" t="s">
        <v>44</v>
      </c>
      <c r="O57">
        <v>2815</v>
      </c>
      <c r="P57">
        <v>7.64</v>
      </c>
      <c r="Q57">
        <v>103</v>
      </c>
      <c r="R57" s="2" t="s">
        <v>50</v>
      </c>
      <c r="S57" s="2" t="s">
        <v>91</v>
      </c>
      <c r="T57" s="2" t="s">
        <v>294</v>
      </c>
      <c r="U57" s="2" t="s">
        <v>42</v>
      </c>
      <c r="V57" s="38">
        <v>44273.6875</v>
      </c>
      <c r="W57" s="2" t="s">
        <v>47</v>
      </c>
      <c r="X57" s="4">
        <v>1.0625</v>
      </c>
      <c r="Y57">
        <v>4</v>
      </c>
      <c r="Z57">
        <v>0</v>
      </c>
      <c r="AA57" t="s">
        <v>48</v>
      </c>
      <c r="AB57" t="s">
        <v>49</v>
      </c>
    </row>
    <row r="58" spans="1:28" x14ac:dyDescent="0.3">
      <c r="A58" s="38">
        <v>44272.625</v>
      </c>
      <c r="B58" s="39">
        <v>44272</v>
      </c>
      <c r="C58" s="3">
        <v>0.625</v>
      </c>
      <c r="D58" s="2" t="s">
        <v>124</v>
      </c>
      <c r="E58" s="2" t="s">
        <v>264</v>
      </c>
      <c r="G58">
        <v>63752580</v>
      </c>
      <c r="H58">
        <v>63752940</v>
      </c>
      <c r="I58" s="2" t="s">
        <v>42</v>
      </c>
      <c r="J58" s="2" t="s">
        <v>43</v>
      </c>
      <c r="K58" s="2" t="s">
        <v>118</v>
      </c>
      <c r="L58" s="2" t="s">
        <v>67</v>
      </c>
      <c r="M58" s="2" t="s">
        <v>51</v>
      </c>
      <c r="N58" s="2" t="s">
        <v>44</v>
      </c>
      <c r="O58">
        <v>4710</v>
      </c>
      <c r="P58">
        <v>9.0419610000000006</v>
      </c>
      <c r="Q58">
        <v>59</v>
      </c>
      <c r="R58" s="2" t="s">
        <v>50</v>
      </c>
      <c r="S58" s="2" t="s">
        <v>45</v>
      </c>
      <c r="T58" s="2" t="s">
        <v>104</v>
      </c>
      <c r="U58" s="2" t="s">
        <v>46</v>
      </c>
      <c r="V58" s="38">
        <v>44273.6875</v>
      </c>
      <c r="W58" s="2" t="s">
        <v>47</v>
      </c>
      <c r="X58" s="4">
        <v>1.0625</v>
      </c>
      <c r="Y58">
        <v>4</v>
      </c>
      <c r="Z58">
        <v>0</v>
      </c>
      <c r="AA58" t="s">
        <v>48</v>
      </c>
      <c r="AB58" t="s">
        <v>49</v>
      </c>
    </row>
    <row r="59" spans="1:28" x14ac:dyDescent="0.3">
      <c r="A59" s="38">
        <v>44272.625</v>
      </c>
      <c r="B59" s="39">
        <v>44272</v>
      </c>
      <c r="C59" s="3">
        <v>0.625</v>
      </c>
      <c r="D59" s="2" t="s">
        <v>124</v>
      </c>
      <c r="E59" s="2" t="s">
        <v>265</v>
      </c>
      <c r="G59">
        <v>63752580</v>
      </c>
      <c r="H59">
        <v>63752940</v>
      </c>
      <c r="I59" s="2" t="s">
        <v>42</v>
      </c>
      <c r="J59" s="2" t="s">
        <v>66</v>
      </c>
      <c r="K59" s="2" t="s">
        <v>345</v>
      </c>
      <c r="L59" s="2" t="s">
        <v>67</v>
      </c>
      <c r="M59" s="2" t="s">
        <v>68</v>
      </c>
      <c r="N59" s="2" t="s">
        <v>44</v>
      </c>
      <c r="O59">
        <v>2652</v>
      </c>
      <c r="P59">
        <v>8.9499999999999993</v>
      </c>
      <c r="Q59">
        <v>179</v>
      </c>
      <c r="R59" s="2" t="s">
        <v>50</v>
      </c>
      <c r="S59" s="2" t="s">
        <v>91</v>
      </c>
      <c r="T59" s="2" t="s">
        <v>294</v>
      </c>
      <c r="U59" s="2" t="s">
        <v>42</v>
      </c>
      <c r="V59" s="38">
        <v>44274.708333333336</v>
      </c>
      <c r="W59" s="2" t="s">
        <v>47</v>
      </c>
      <c r="X59" s="4">
        <v>2.0833333333333335</v>
      </c>
      <c r="Y59">
        <v>4</v>
      </c>
      <c r="Z59">
        <v>1</v>
      </c>
      <c r="AA59" t="s">
        <v>48</v>
      </c>
      <c r="AB59" t="s">
        <v>49</v>
      </c>
    </row>
    <row r="60" spans="1:28" x14ac:dyDescent="0.3">
      <c r="A60" s="38">
        <v>44272.625</v>
      </c>
      <c r="B60" s="39">
        <v>44272</v>
      </c>
      <c r="C60" s="3">
        <v>0.625</v>
      </c>
      <c r="D60" s="2" t="s">
        <v>124</v>
      </c>
      <c r="E60" s="2" t="s">
        <v>268</v>
      </c>
      <c r="G60">
        <v>63752580</v>
      </c>
      <c r="H60">
        <v>63752940</v>
      </c>
      <c r="I60" s="2" t="s">
        <v>42</v>
      </c>
      <c r="J60" s="2" t="s">
        <v>43</v>
      </c>
      <c r="K60" s="2" t="s">
        <v>143</v>
      </c>
      <c r="L60" s="2" t="s">
        <v>67</v>
      </c>
      <c r="M60" s="2" t="s">
        <v>83</v>
      </c>
      <c r="N60" s="2" t="s">
        <v>44</v>
      </c>
      <c r="O60">
        <v>3646</v>
      </c>
      <c r="P60">
        <v>6.0402490000000002</v>
      </c>
      <c r="Q60">
        <v>80</v>
      </c>
      <c r="R60" s="2" t="s">
        <v>50</v>
      </c>
      <c r="S60" s="2" t="s">
        <v>45</v>
      </c>
      <c r="T60" s="2" t="s">
        <v>346</v>
      </c>
      <c r="U60" s="2" t="s">
        <v>57</v>
      </c>
      <c r="V60" s="38">
        <v>44273.704861111109</v>
      </c>
      <c r="W60" s="2" t="s">
        <v>47</v>
      </c>
      <c r="X60" s="4">
        <v>1.0798611111111112</v>
      </c>
      <c r="Y60">
        <v>4</v>
      </c>
      <c r="Z60">
        <v>0</v>
      </c>
      <c r="AA60" t="s">
        <v>48</v>
      </c>
      <c r="AB60" t="s">
        <v>49</v>
      </c>
    </row>
    <row r="61" spans="1:28" x14ac:dyDescent="0.3">
      <c r="A61" s="38">
        <v>44272.625</v>
      </c>
      <c r="B61" s="39">
        <v>44272</v>
      </c>
      <c r="C61" s="3">
        <v>0.625</v>
      </c>
      <c r="D61" s="2" t="s">
        <v>124</v>
      </c>
      <c r="E61" s="2" t="s">
        <v>269</v>
      </c>
      <c r="G61">
        <v>63752580</v>
      </c>
      <c r="H61">
        <v>63752940</v>
      </c>
      <c r="I61" s="2" t="s">
        <v>42</v>
      </c>
      <c r="J61" s="2" t="s">
        <v>55</v>
      </c>
      <c r="K61" s="2" t="s">
        <v>347</v>
      </c>
      <c r="L61" s="2" t="s">
        <v>67</v>
      </c>
      <c r="M61" s="2" t="s">
        <v>68</v>
      </c>
      <c r="N61" s="2" t="s">
        <v>44</v>
      </c>
      <c r="O61">
        <v>769</v>
      </c>
      <c r="P61">
        <v>4.68</v>
      </c>
      <c r="Q61">
        <v>58</v>
      </c>
      <c r="R61" s="2" t="s">
        <v>50</v>
      </c>
      <c r="S61" s="2" t="s">
        <v>91</v>
      </c>
      <c r="T61" s="2" t="s">
        <v>294</v>
      </c>
      <c r="U61" s="2" t="s">
        <v>42</v>
      </c>
      <c r="V61" s="38">
        <v>44273.326388888891</v>
      </c>
      <c r="W61" s="2" t="s">
        <v>47</v>
      </c>
      <c r="X61" s="4">
        <v>0.70138888888888884</v>
      </c>
      <c r="Y61">
        <v>2</v>
      </c>
      <c r="Z61">
        <v>0</v>
      </c>
      <c r="AA61" t="s">
        <v>48</v>
      </c>
      <c r="AB61" t="s">
        <v>49</v>
      </c>
    </row>
    <row r="62" spans="1:28" x14ac:dyDescent="0.3">
      <c r="A62" s="38">
        <v>44272.635416666664</v>
      </c>
      <c r="B62" s="39">
        <v>44272</v>
      </c>
      <c r="C62" s="3">
        <v>0.63541666666666663</v>
      </c>
      <c r="D62" s="2" t="s">
        <v>348</v>
      </c>
      <c r="E62" s="2" t="s">
        <v>53</v>
      </c>
      <c r="G62">
        <v>63752595</v>
      </c>
      <c r="H62">
        <v>63752955</v>
      </c>
      <c r="I62" s="2" t="s">
        <v>59</v>
      </c>
      <c r="J62" s="2" t="s">
        <v>43</v>
      </c>
      <c r="K62" s="2" t="s">
        <v>349</v>
      </c>
      <c r="L62" s="2" t="s">
        <v>82</v>
      </c>
      <c r="M62" s="2" t="s">
        <v>70</v>
      </c>
      <c r="N62" s="2" t="s">
        <v>44</v>
      </c>
      <c r="R62" s="2" t="s">
        <v>50</v>
      </c>
      <c r="S62" s="2" t="s">
        <v>90</v>
      </c>
      <c r="T62" s="2" t="s">
        <v>80</v>
      </c>
      <c r="U62" s="2" t="s">
        <v>42</v>
      </c>
      <c r="V62" s="38">
        <v>44273.694444444445</v>
      </c>
      <c r="W62" s="2" t="s">
        <v>47</v>
      </c>
      <c r="X62" s="4">
        <v>1.0590277777777777</v>
      </c>
      <c r="Y62">
        <v>4</v>
      </c>
      <c r="Z62">
        <v>0</v>
      </c>
      <c r="AA62" t="s">
        <v>72</v>
      </c>
      <c r="AB62" t="s">
        <v>58</v>
      </c>
    </row>
    <row r="63" spans="1:28" x14ac:dyDescent="0.3">
      <c r="A63" s="38">
        <v>44272.635416666664</v>
      </c>
      <c r="B63" s="39">
        <v>44272</v>
      </c>
      <c r="C63" s="3">
        <v>0.63541666666666663</v>
      </c>
      <c r="D63" s="2" t="s">
        <v>350</v>
      </c>
      <c r="E63" s="2" t="s">
        <v>351</v>
      </c>
      <c r="G63">
        <v>63752595</v>
      </c>
      <c r="H63">
        <v>63752955</v>
      </c>
      <c r="I63" s="2" t="s">
        <v>57</v>
      </c>
      <c r="J63" s="2" t="s">
        <v>43</v>
      </c>
      <c r="K63" s="2" t="s">
        <v>273</v>
      </c>
      <c r="L63" s="2" t="s">
        <v>86</v>
      </c>
      <c r="M63" s="2" t="s">
        <v>81</v>
      </c>
      <c r="N63" s="2" t="s">
        <v>44</v>
      </c>
      <c r="O63">
        <v>69</v>
      </c>
      <c r="P63">
        <v>0.37614399999999998</v>
      </c>
      <c r="Q63">
        <v>9</v>
      </c>
      <c r="R63" s="2" t="s">
        <v>50</v>
      </c>
      <c r="S63" s="2" t="s">
        <v>91</v>
      </c>
      <c r="T63" s="2" t="s">
        <v>352</v>
      </c>
      <c r="U63" s="2" t="s">
        <v>59</v>
      </c>
      <c r="V63" s="38">
        <v>44273.670138888891</v>
      </c>
      <c r="W63" s="2" t="s">
        <v>47</v>
      </c>
      <c r="X63" s="4">
        <v>1.0347222222222223</v>
      </c>
      <c r="Y63">
        <v>4</v>
      </c>
      <c r="Z63">
        <v>0</v>
      </c>
      <c r="AA63" t="s">
        <v>65</v>
      </c>
      <c r="AB63" t="s">
        <v>58</v>
      </c>
    </row>
    <row r="64" spans="1:28" x14ac:dyDescent="0.3">
      <c r="A64" s="38">
        <v>44272.638888888891</v>
      </c>
      <c r="B64" s="39">
        <v>44272</v>
      </c>
      <c r="C64" s="3">
        <v>0.63888888888888884</v>
      </c>
      <c r="D64" s="2" t="s">
        <v>353</v>
      </c>
      <c r="E64" s="2" t="s">
        <v>53</v>
      </c>
      <c r="G64">
        <v>63752600</v>
      </c>
      <c r="H64">
        <v>63752960</v>
      </c>
      <c r="I64" s="2" t="s">
        <v>59</v>
      </c>
      <c r="J64" s="2" t="s">
        <v>55</v>
      </c>
      <c r="K64" s="2" t="s">
        <v>354</v>
      </c>
      <c r="L64" s="2" t="s">
        <v>355</v>
      </c>
      <c r="M64" s="2" t="s">
        <v>144</v>
      </c>
      <c r="N64" s="2" t="s">
        <v>44</v>
      </c>
      <c r="R64" s="2" t="s">
        <v>50</v>
      </c>
      <c r="S64" s="2" t="s">
        <v>91</v>
      </c>
      <c r="T64" s="2" t="s">
        <v>356</v>
      </c>
      <c r="U64" s="2" t="s">
        <v>57</v>
      </c>
      <c r="V64" s="38">
        <v>44273.329861111109</v>
      </c>
      <c r="W64" s="2" t="s">
        <v>47</v>
      </c>
      <c r="X64" s="4">
        <v>0.69097222222222221</v>
      </c>
      <c r="Y64">
        <v>2</v>
      </c>
      <c r="Z64">
        <v>0</v>
      </c>
      <c r="AA64" t="s">
        <v>72</v>
      </c>
      <c r="AB64" t="s">
        <v>58</v>
      </c>
    </row>
    <row r="65" spans="1:28" x14ac:dyDescent="0.3">
      <c r="A65" s="38">
        <v>44272.638888888891</v>
      </c>
      <c r="B65" s="39">
        <v>44272</v>
      </c>
      <c r="C65" s="3">
        <v>0.63888888888888884</v>
      </c>
      <c r="D65" s="2" t="s">
        <v>357</v>
      </c>
      <c r="E65" s="2" t="s">
        <v>358</v>
      </c>
      <c r="G65">
        <v>63752600</v>
      </c>
      <c r="H65">
        <v>63752960</v>
      </c>
      <c r="I65" s="2" t="s">
        <v>57</v>
      </c>
      <c r="J65" s="2" t="s">
        <v>43</v>
      </c>
      <c r="K65" s="2" t="s">
        <v>141</v>
      </c>
      <c r="L65" s="2" t="s">
        <v>359</v>
      </c>
      <c r="M65" s="2" t="s">
        <v>70</v>
      </c>
      <c r="N65" s="2" t="s">
        <v>44</v>
      </c>
      <c r="O65">
        <v>186.8</v>
      </c>
      <c r="P65">
        <v>1.174774</v>
      </c>
      <c r="Q65">
        <v>10</v>
      </c>
      <c r="R65" s="2" t="s">
        <v>50</v>
      </c>
      <c r="S65" s="2" t="s">
        <v>45</v>
      </c>
      <c r="T65" s="2" t="s">
        <v>360</v>
      </c>
      <c r="U65" s="2" t="s">
        <v>42</v>
      </c>
      <c r="V65" s="38">
        <v>44273.739583333336</v>
      </c>
      <c r="W65" s="2" t="s">
        <v>47</v>
      </c>
      <c r="X65" s="4">
        <v>1.1006944444444444</v>
      </c>
      <c r="Y65">
        <v>4</v>
      </c>
      <c r="Z65">
        <v>0</v>
      </c>
      <c r="AA65" t="s">
        <v>65</v>
      </c>
      <c r="AB65" t="s">
        <v>58</v>
      </c>
    </row>
    <row r="66" spans="1:28" x14ac:dyDescent="0.3">
      <c r="A66" s="38">
        <v>44272.8125</v>
      </c>
      <c r="B66" s="39">
        <v>44272</v>
      </c>
      <c r="C66" s="3">
        <v>0.8125</v>
      </c>
      <c r="D66" s="2" t="s">
        <v>361</v>
      </c>
      <c r="E66" s="2" t="s">
        <v>53</v>
      </c>
      <c r="G66">
        <v>63752850</v>
      </c>
      <c r="H66">
        <v>63753210</v>
      </c>
      <c r="I66" s="2" t="s">
        <v>59</v>
      </c>
      <c r="J66" s="2" t="s">
        <v>43</v>
      </c>
      <c r="K66" s="2" t="s">
        <v>362</v>
      </c>
      <c r="L66" s="2" t="s">
        <v>75</v>
      </c>
      <c r="M66" s="2" t="s">
        <v>102</v>
      </c>
      <c r="N66" s="2" t="s">
        <v>44</v>
      </c>
      <c r="R66" s="2" t="s">
        <v>50</v>
      </c>
      <c r="S66" s="2" t="s">
        <v>45</v>
      </c>
      <c r="T66" s="2" t="s">
        <v>106</v>
      </c>
      <c r="U66" s="2" t="s">
        <v>101</v>
      </c>
      <c r="V66" s="38">
        <v>44274.704861111109</v>
      </c>
      <c r="W66" s="2" t="s">
        <v>47</v>
      </c>
      <c r="X66" s="4">
        <v>1.8923611111111112</v>
      </c>
      <c r="Y66">
        <v>4</v>
      </c>
      <c r="Z66">
        <v>0</v>
      </c>
      <c r="AA66" t="s">
        <v>72</v>
      </c>
      <c r="AB66" t="s">
        <v>58</v>
      </c>
    </row>
    <row r="67" spans="1:28" x14ac:dyDescent="0.3">
      <c r="A67" s="38">
        <v>44272.916666666664</v>
      </c>
      <c r="B67" s="39">
        <v>44272</v>
      </c>
      <c r="C67" s="3">
        <v>0.91666666666666663</v>
      </c>
      <c r="D67" s="2" t="s">
        <v>363</v>
      </c>
      <c r="E67" s="2" t="s">
        <v>53</v>
      </c>
      <c r="G67">
        <v>63753000</v>
      </c>
      <c r="H67">
        <v>63753360</v>
      </c>
      <c r="I67" s="2" t="s">
        <v>46</v>
      </c>
      <c r="J67" s="2" t="s">
        <v>55</v>
      </c>
      <c r="K67" s="2" t="s">
        <v>364</v>
      </c>
      <c r="L67" s="2" t="s">
        <v>56</v>
      </c>
      <c r="M67" s="2" t="s">
        <v>68</v>
      </c>
      <c r="N67" s="2" t="s">
        <v>44</v>
      </c>
      <c r="R67" s="2" t="s">
        <v>50</v>
      </c>
      <c r="S67" s="2" t="s">
        <v>293</v>
      </c>
      <c r="T67" s="2" t="s">
        <v>294</v>
      </c>
      <c r="U67" s="2" t="s">
        <v>42</v>
      </c>
      <c r="V67" s="38">
        <v>44273.694444444445</v>
      </c>
      <c r="W67" s="2" t="s">
        <v>47</v>
      </c>
      <c r="X67" s="4">
        <v>0.77777777777777779</v>
      </c>
      <c r="Y67">
        <v>3</v>
      </c>
      <c r="Z67">
        <v>0</v>
      </c>
      <c r="AA67" t="s">
        <v>72</v>
      </c>
      <c r="AB67" t="s">
        <v>46</v>
      </c>
    </row>
    <row r="68" spans="1:28" x14ac:dyDescent="0.3">
      <c r="A68" s="38">
        <v>44272.916666666664</v>
      </c>
      <c r="B68" s="39">
        <v>44272</v>
      </c>
      <c r="C68" s="3">
        <v>0.91666666666666663</v>
      </c>
      <c r="D68" s="2" t="s">
        <v>365</v>
      </c>
      <c r="E68" s="2" t="s">
        <v>366</v>
      </c>
      <c r="G68">
        <v>63753000</v>
      </c>
      <c r="H68">
        <v>63753360</v>
      </c>
      <c r="I68" s="2" t="s">
        <v>46</v>
      </c>
      <c r="J68" s="2" t="s">
        <v>43</v>
      </c>
      <c r="K68" s="2" t="s">
        <v>367</v>
      </c>
      <c r="L68" s="2" t="s">
        <v>77</v>
      </c>
      <c r="M68" s="2" t="s">
        <v>68</v>
      </c>
      <c r="N68" s="2" t="s">
        <v>44</v>
      </c>
      <c r="O68">
        <v>2978.8</v>
      </c>
      <c r="P68">
        <v>12.47</v>
      </c>
      <c r="Q68">
        <v>226</v>
      </c>
      <c r="R68" s="2" t="s">
        <v>50</v>
      </c>
      <c r="S68" s="2" t="s">
        <v>293</v>
      </c>
      <c r="T68" s="2" t="s">
        <v>294</v>
      </c>
      <c r="U68" s="2" t="s">
        <v>42</v>
      </c>
      <c r="V68" s="38">
        <v>44274.708333333336</v>
      </c>
      <c r="W68" s="2" t="s">
        <v>47</v>
      </c>
      <c r="X68" s="4">
        <v>1.7916666666666667</v>
      </c>
      <c r="Y68">
        <v>4</v>
      </c>
      <c r="Z68">
        <v>0</v>
      </c>
      <c r="AA68" t="s">
        <v>65</v>
      </c>
      <c r="AB68" t="s">
        <v>46</v>
      </c>
    </row>
    <row r="69" spans="1:28" x14ac:dyDescent="0.3">
      <c r="A69" s="38">
        <v>44272.916666666664</v>
      </c>
      <c r="B69" s="39">
        <v>44272</v>
      </c>
      <c r="C69" s="3">
        <v>0.91666666666666663</v>
      </c>
      <c r="D69" s="2" t="s">
        <v>368</v>
      </c>
      <c r="E69" s="2" t="s">
        <v>369</v>
      </c>
      <c r="G69">
        <v>63753000</v>
      </c>
      <c r="H69">
        <v>63753360</v>
      </c>
      <c r="I69" s="2" t="s">
        <v>46</v>
      </c>
      <c r="J69" s="2" t="s">
        <v>55</v>
      </c>
      <c r="K69" s="2" t="s">
        <v>370</v>
      </c>
      <c r="L69" s="2" t="s">
        <v>69</v>
      </c>
      <c r="M69" s="2" t="s">
        <v>67</v>
      </c>
      <c r="N69" s="2" t="s">
        <v>44</v>
      </c>
      <c r="O69">
        <v>3415</v>
      </c>
      <c r="P69">
        <v>17.565702000000002</v>
      </c>
      <c r="Q69">
        <v>27</v>
      </c>
      <c r="R69" s="2" t="s">
        <v>50</v>
      </c>
      <c r="S69" s="2" t="s">
        <v>90</v>
      </c>
      <c r="T69" s="2" t="s">
        <v>140</v>
      </c>
      <c r="U69" s="2" t="s">
        <v>101</v>
      </c>
      <c r="V69" s="38">
        <v>44273.722222222219</v>
      </c>
      <c r="W69" s="2" t="s">
        <v>47</v>
      </c>
      <c r="X69" s="4">
        <v>0.80555555555555558</v>
      </c>
      <c r="Y69">
        <v>3</v>
      </c>
      <c r="Z69">
        <v>0</v>
      </c>
      <c r="AA69" t="s">
        <v>65</v>
      </c>
      <c r="AB69" t="s">
        <v>46</v>
      </c>
    </row>
    <row r="70" spans="1:28" x14ac:dyDescent="0.3">
      <c r="A70" s="38">
        <v>44272.940972222219</v>
      </c>
      <c r="B70" s="39">
        <v>44272</v>
      </c>
      <c r="C70" s="3">
        <v>0.94097222222222221</v>
      </c>
      <c r="D70" s="2" t="s">
        <v>150</v>
      </c>
      <c r="E70" s="2" t="s">
        <v>53</v>
      </c>
      <c r="G70">
        <v>63753035</v>
      </c>
      <c r="H70">
        <v>63753395</v>
      </c>
      <c r="I70" s="2" t="s">
        <v>57</v>
      </c>
      <c r="J70" s="2" t="s">
        <v>55</v>
      </c>
      <c r="K70" s="2" t="s">
        <v>304</v>
      </c>
      <c r="L70" s="2" t="s">
        <v>51</v>
      </c>
      <c r="M70" s="2" t="s">
        <v>89</v>
      </c>
      <c r="N70" s="2" t="s">
        <v>44</v>
      </c>
      <c r="R70" s="2" t="s">
        <v>50</v>
      </c>
      <c r="S70" s="2" t="s">
        <v>45</v>
      </c>
      <c r="T70" s="2" t="s">
        <v>278</v>
      </c>
      <c r="U70" s="2" t="s">
        <v>42</v>
      </c>
      <c r="V70" s="38">
        <v>44273.694444444445</v>
      </c>
      <c r="W70" s="2" t="s">
        <v>47</v>
      </c>
      <c r="X70" s="4">
        <v>0.75347222222222221</v>
      </c>
      <c r="Y70">
        <v>3</v>
      </c>
      <c r="Z70">
        <v>0</v>
      </c>
      <c r="AA70" t="s">
        <v>72</v>
      </c>
      <c r="AB70" t="s">
        <v>58</v>
      </c>
    </row>
    <row r="71" spans="1:28" x14ac:dyDescent="0.3">
      <c r="A71" s="38">
        <v>44272.958333333336</v>
      </c>
      <c r="B71" s="39">
        <v>44272</v>
      </c>
      <c r="C71" s="3">
        <v>0.95833333333333337</v>
      </c>
      <c r="D71" s="2" t="s">
        <v>121</v>
      </c>
      <c r="E71" s="2" t="s">
        <v>53</v>
      </c>
      <c r="G71">
        <v>63753060</v>
      </c>
      <c r="H71">
        <v>63753420</v>
      </c>
      <c r="I71" s="2" t="s">
        <v>136</v>
      </c>
      <c r="J71" s="2" t="s">
        <v>55</v>
      </c>
      <c r="K71" s="2" t="s">
        <v>371</v>
      </c>
      <c r="L71" s="2" t="s">
        <v>86</v>
      </c>
      <c r="M71" s="2" t="s">
        <v>67</v>
      </c>
      <c r="N71" s="2" t="s">
        <v>44</v>
      </c>
      <c r="R71" s="2" t="s">
        <v>50</v>
      </c>
      <c r="S71" s="2" t="s">
        <v>122</v>
      </c>
      <c r="T71" s="2" t="s">
        <v>80</v>
      </c>
      <c r="U71" s="2" t="s">
        <v>42</v>
      </c>
      <c r="V71" s="38">
        <v>44273.670138888891</v>
      </c>
      <c r="W71" s="2" t="s">
        <v>47</v>
      </c>
      <c r="X71" s="4">
        <v>0.71180555555555558</v>
      </c>
      <c r="Y71">
        <v>2</v>
      </c>
      <c r="Z71">
        <v>0</v>
      </c>
      <c r="AA71" t="s">
        <v>72</v>
      </c>
      <c r="AB71" t="s">
        <v>58</v>
      </c>
    </row>
    <row r="72" spans="1:28" x14ac:dyDescent="0.3">
      <c r="A72" s="38">
        <v>44272.958333333336</v>
      </c>
      <c r="B72" s="39">
        <v>44272</v>
      </c>
      <c r="C72" s="3">
        <v>0.95833333333333337</v>
      </c>
      <c r="D72" s="2" t="s">
        <v>372</v>
      </c>
      <c r="E72" s="2" t="s">
        <v>53</v>
      </c>
      <c r="G72">
        <v>63753060</v>
      </c>
      <c r="H72">
        <v>63753420</v>
      </c>
      <c r="I72" s="2" t="s">
        <v>57</v>
      </c>
      <c r="J72" s="2" t="s">
        <v>55</v>
      </c>
      <c r="K72" s="2" t="s">
        <v>373</v>
      </c>
      <c r="L72" s="2" t="s">
        <v>126</v>
      </c>
      <c r="M72" s="2" t="s">
        <v>67</v>
      </c>
      <c r="N72" s="2" t="s">
        <v>44</v>
      </c>
      <c r="R72" s="2" t="s">
        <v>50</v>
      </c>
      <c r="S72" s="2" t="s">
        <v>45</v>
      </c>
      <c r="T72" s="2" t="s">
        <v>119</v>
      </c>
      <c r="U72" s="2" t="s">
        <v>42</v>
      </c>
      <c r="V72" s="38">
        <v>44273.763888888891</v>
      </c>
      <c r="W72" s="2" t="s">
        <v>47</v>
      </c>
      <c r="X72" s="4">
        <v>0.80555555555555558</v>
      </c>
      <c r="Y72">
        <v>3</v>
      </c>
      <c r="Z72">
        <v>0</v>
      </c>
      <c r="AA72" t="s">
        <v>72</v>
      </c>
      <c r="AB72" t="s">
        <v>58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40ED5-4770-4A6B-B6BF-DE8FA5344C35}">
  <sheetPr codeName="Sheet1">
    <pageSetUpPr fitToPage="1"/>
  </sheetPr>
  <dimension ref="A1:T235"/>
  <sheetViews>
    <sheetView workbookViewId="0">
      <pane ySplit="2" topLeftCell="A3" activePane="bottomLeft" state="frozen"/>
      <selection pane="bottomLeft" activeCell="A3" sqref="A3"/>
    </sheetView>
  </sheetViews>
  <sheetFormatPr defaultRowHeight="14.4" x14ac:dyDescent="0.3"/>
  <cols>
    <col min="1" max="1" width="8.88671875" style="12"/>
    <col min="2" max="3" width="8.88671875" style="10"/>
    <col min="4" max="4" width="12.44140625" style="10" bestFit="1" customWidth="1"/>
    <col min="5" max="5" width="12" style="10" bestFit="1" customWidth="1"/>
    <col min="6" max="7" width="8.88671875" style="10"/>
    <col min="8" max="8" width="8.88671875" style="23"/>
    <col min="9" max="9" width="9.44140625" style="10" customWidth="1"/>
    <col min="10" max="10" width="9.88671875" style="10" bestFit="1" customWidth="1"/>
    <col min="11" max="11" width="15.5546875" style="10" bestFit="1" customWidth="1"/>
    <col min="12" max="12" width="15" style="24" customWidth="1"/>
    <col min="14" max="14" width="5.5546875" style="26" bestFit="1" customWidth="1"/>
    <col min="15" max="15" width="7.109375" bestFit="1" customWidth="1"/>
    <col min="16" max="16" width="4.44140625" bestFit="1" customWidth="1"/>
    <col min="17" max="17" width="12.44140625" bestFit="1" customWidth="1"/>
    <col min="18" max="18" width="9.88671875" bestFit="1" customWidth="1"/>
    <col min="19" max="19" width="15.5546875" bestFit="1" customWidth="1"/>
    <col min="20" max="20" width="14.5546875" bestFit="1" customWidth="1"/>
  </cols>
  <sheetData>
    <row r="1" spans="1:20" ht="18.600000000000001" thickBot="1" x14ac:dyDescent="0.4">
      <c r="A1" s="40" t="s">
        <v>379</v>
      </c>
      <c r="B1" s="40"/>
      <c r="C1" s="40"/>
      <c r="D1" s="40"/>
      <c r="E1" s="40"/>
      <c r="F1" s="40"/>
      <c r="G1" s="40"/>
      <c r="H1" s="40"/>
      <c r="I1" s="40"/>
      <c r="J1" s="40"/>
      <c r="K1" s="40"/>
      <c r="L1" s="40"/>
      <c r="N1" s="40" t="s">
        <v>64</v>
      </c>
      <c r="O1" s="40"/>
      <c r="P1" s="40"/>
      <c r="Q1" s="40"/>
      <c r="R1" s="40"/>
      <c r="S1" s="40"/>
      <c r="T1" s="40"/>
    </row>
    <row r="2" spans="1:20" x14ac:dyDescent="0.3">
      <c r="A2" s="5" t="s">
        <v>27</v>
      </c>
      <c r="B2" s="6" t="s">
        <v>28</v>
      </c>
      <c r="C2" s="6" t="s">
        <v>29</v>
      </c>
      <c r="D2" s="7" t="s">
        <v>2</v>
      </c>
      <c r="E2" s="6" t="s">
        <v>30</v>
      </c>
      <c r="F2" s="8" t="s">
        <v>31</v>
      </c>
      <c r="G2" s="8" t="s">
        <v>32</v>
      </c>
      <c r="H2" s="9" t="s">
        <v>33</v>
      </c>
      <c r="I2" s="6" t="s">
        <v>35</v>
      </c>
      <c r="J2" s="6" t="s">
        <v>40</v>
      </c>
      <c r="K2" s="6" t="s">
        <v>41</v>
      </c>
      <c r="L2" s="6" t="s">
        <v>34</v>
      </c>
      <c r="N2" s="5" t="s">
        <v>27</v>
      </c>
      <c r="O2" s="6" t="s">
        <v>28</v>
      </c>
      <c r="P2" s="6" t="s">
        <v>29</v>
      </c>
      <c r="Q2" s="7" t="s">
        <v>2</v>
      </c>
      <c r="R2" s="6" t="s">
        <v>40</v>
      </c>
      <c r="S2" s="6" t="s">
        <v>41</v>
      </c>
      <c r="T2" s="6" t="s">
        <v>34</v>
      </c>
    </row>
    <row r="3" spans="1:20" x14ac:dyDescent="0.3">
      <c r="A3" s="12">
        <v>0.58680555555555558</v>
      </c>
      <c r="B3" s="10" t="s">
        <v>123</v>
      </c>
      <c r="C3" s="10" t="s">
        <v>89</v>
      </c>
      <c r="D3" s="10" t="s">
        <v>284</v>
      </c>
      <c r="F3" s="10">
        <v>24</v>
      </c>
      <c r="G3" s="10">
        <v>1169</v>
      </c>
      <c r="H3" s="23">
        <v>8.2590240000000001</v>
      </c>
      <c r="I3" s="10" t="s">
        <v>50</v>
      </c>
      <c r="J3" s="10" t="s">
        <v>286</v>
      </c>
      <c r="K3" s="22">
        <v>44273.680555555555</v>
      </c>
      <c r="L3" s="24">
        <v>1.09375</v>
      </c>
      <c r="N3" s="26">
        <v>0.59027777777777779</v>
      </c>
      <c r="O3" t="s">
        <v>134</v>
      </c>
      <c r="P3" t="s">
        <v>70</v>
      </c>
      <c r="Q3" t="s">
        <v>301</v>
      </c>
      <c r="R3" t="s">
        <v>302</v>
      </c>
      <c r="S3" s="1">
        <v>44272.666666666664</v>
      </c>
      <c r="T3" s="24">
        <v>7.6388888888888895E-2</v>
      </c>
    </row>
    <row r="4" spans="1:20" x14ac:dyDescent="0.3">
      <c r="D4" s="10" t="s">
        <v>287</v>
      </c>
      <c r="F4" s="10">
        <v>1</v>
      </c>
      <c r="G4" s="10">
        <v>165</v>
      </c>
      <c r="H4" s="23">
        <v>1.3956919999999999</v>
      </c>
      <c r="I4" s="10" t="s">
        <v>50</v>
      </c>
      <c r="J4" s="10" t="s">
        <v>74</v>
      </c>
      <c r="K4" s="22">
        <v>44273.75</v>
      </c>
      <c r="L4" s="24">
        <v>1.1631944444444444</v>
      </c>
      <c r="Q4" t="s">
        <v>306</v>
      </c>
      <c r="R4" t="s">
        <v>302</v>
      </c>
      <c r="S4" s="1">
        <v>44272.666666666664</v>
      </c>
      <c r="T4" s="24">
        <v>7.6388888888888895E-2</v>
      </c>
    </row>
    <row r="5" spans="1:20" x14ac:dyDescent="0.3">
      <c r="D5" s="10" t="s">
        <v>288</v>
      </c>
      <c r="F5" s="10">
        <v>2</v>
      </c>
      <c r="G5" s="10">
        <v>66</v>
      </c>
      <c r="H5" s="23">
        <v>0.80763600000000002</v>
      </c>
      <c r="I5" s="10" t="s">
        <v>50</v>
      </c>
      <c r="J5" s="10" t="s">
        <v>92</v>
      </c>
      <c r="K5" s="22">
        <v>44273.6875</v>
      </c>
      <c r="L5" s="24">
        <v>1.1006944444444444</v>
      </c>
      <c r="Q5" t="s">
        <v>307</v>
      </c>
      <c r="R5" t="s">
        <v>54</v>
      </c>
      <c r="S5" s="1"/>
      <c r="T5" s="24"/>
    </row>
    <row r="6" spans="1:20" x14ac:dyDescent="0.3">
      <c r="D6" s="10" t="s">
        <v>289</v>
      </c>
      <c r="F6" s="10">
        <v>31</v>
      </c>
      <c r="G6" s="10">
        <v>1121</v>
      </c>
      <c r="H6" s="23">
        <v>11.937239</v>
      </c>
      <c r="I6" s="10" t="s">
        <v>50</v>
      </c>
      <c r="J6" s="10" t="s">
        <v>74</v>
      </c>
      <c r="K6" s="22">
        <v>44273.6875</v>
      </c>
      <c r="L6" s="24">
        <v>1.1006944444444444</v>
      </c>
      <c r="Q6" t="s">
        <v>308</v>
      </c>
      <c r="R6" t="s">
        <v>54</v>
      </c>
      <c r="S6" s="1"/>
      <c r="T6" s="24"/>
    </row>
    <row r="7" spans="1:20" x14ac:dyDescent="0.3">
      <c r="D7" s="10" t="s">
        <v>290</v>
      </c>
      <c r="F7" s="10">
        <v>5</v>
      </c>
      <c r="G7" s="10">
        <v>830</v>
      </c>
      <c r="H7" s="23">
        <v>6.9784620000000004</v>
      </c>
      <c r="I7" s="10" t="s">
        <v>50</v>
      </c>
      <c r="J7" s="10" t="s">
        <v>74</v>
      </c>
      <c r="K7" s="22">
        <v>44273.75</v>
      </c>
      <c r="L7" s="24">
        <v>1.1631944444444444</v>
      </c>
      <c r="Q7" t="s">
        <v>309</v>
      </c>
      <c r="R7" t="s">
        <v>302</v>
      </c>
      <c r="S7" s="1">
        <v>44272.666666666664</v>
      </c>
      <c r="T7" s="24">
        <v>7.6388888888888895E-2</v>
      </c>
    </row>
    <row r="8" spans="1:20" x14ac:dyDescent="0.3">
      <c r="D8" s="10" t="s">
        <v>291</v>
      </c>
      <c r="F8" s="10">
        <v>16</v>
      </c>
      <c r="G8" s="10">
        <v>669</v>
      </c>
      <c r="H8" s="23">
        <v>5.1329880000000001</v>
      </c>
      <c r="I8" s="10" t="s">
        <v>50</v>
      </c>
      <c r="J8" s="10" t="s">
        <v>294</v>
      </c>
      <c r="K8" s="22">
        <v>44273.708333333336</v>
      </c>
      <c r="L8" s="24">
        <v>1.1215277777777779</v>
      </c>
      <c r="Q8" t="s">
        <v>310</v>
      </c>
      <c r="R8" t="s">
        <v>54</v>
      </c>
      <c r="S8" s="1"/>
      <c r="T8" s="24"/>
    </row>
    <row r="9" spans="1:20" x14ac:dyDescent="0.3">
      <c r="D9" s="10" t="s">
        <v>295</v>
      </c>
      <c r="F9" s="10">
        <v>30</v>
      </c>
      <c r="G9" s="10">
        <v>4580</v>
      </c>
      <c r="H9" s="23">
        <v>9.8555340000000005</v>
      </c>
      <c r="I9" s="10" t="s">
        <v>50</v>
      </c>
      <c r="J9" s="10" t="s">
        <v>296</v>
      </c>
      <c r="K9" s="22">
        <v>44273.6875</v>
      </c>
      <c r="L9" s="24">
        <v>1.1006944444444444</v>
      </c>
      <c r="Q9" t="s">
        <v>311</v>
      </c>
      <c r="R9" t="s">
        <v>54</v>
      </c>
      <c r="S9" s="1"/>
      <c r="T9" s="24"/>
    </row>
    <row r="10" spans="1:20" x14ac:dyDescent="0.3">
      <c r="D10" s="10" t="s">
        <v>297</v>
      </c>
      <c r="F10" s="10">
        <v>4</v>
      </c>
      <c r="G10" s="10">
        <v>1894</v>
      </c>
      <c r="H10" s="23">
        <v>3.4723700000000002</v>
      </c>
      <c r="I10" s="10" t="s">
        <v>50</v>
      </c>
      <c r="J10" s="10" t="s">
        <v>84</v>
      </c>
      <c r="K10" s="22">
        <v>44273.6875</v>
      </c>
      <c r="L10" s="24">
        <v>1.1006944444444444</v>
      </c>
      <c r="Q10" t="s">
        <v>312</v>
      </c>
      <c r="R10" t="s">
        <v>302</v>
      </c>
      <c r="S10" s="1">
        <v>44272.666666666664</v>
      </c>
      <c r="T10" s="24">
        <v>7.6388888888888895E-2</v>
      </c>
    </row>
    <row r="11" spans="1:20" x14ac:dyDescent="0.3">
      <c r="D11" s="10" t="s">
        <v>298</v>
      </c>
      <c r="F11" s="10">
        <v>39</v>
      </c>
      <c r="G11" s="10">
        <v>999</v>
      </c>
      <c r="H11" s="23">
        <v>8.5247919999999997</v>
      </c>
      <c r="I11" s="10" t="s">
        <v>50</v>
      </c>
      <c r="J11" s="10" t="s">
        <v>117</v>
      </c>
      <c r="K11" s="22">
        <v>44273.6875</v>
      </c>
      <c r="L11" s="24">
        <v>1.1006944444444444</v>
      </c>
      <c r="Q11" t="s">
        <v>313</v>
      </c>
      <c r="R11" t="s">
        <v>302</v>
      </c>
      <c r="S11" s="1">
        <v>44272.666666666664</v>
      </c>
      <c r="T11" s="24">
        <v>7.6388888888888895E-2</v>
      </c>
    </row>
    <row r="12" spans="1:20" x14ac:dyDescent="0.3">
      <c r="D12" s="10" t="s">
        <v>299</v>
      </c>
      <c r="F12" s="10">
        <v>50</v>
      </c>
      <c r="G12" s="10">
        <v>2337</v>
      </c>
      <c r="H12" s="23">
        <v>9.0386970000000009</v>
      </c>
      <c r="I12" s="10" t="s">
        <v>50</v>
      </c>
      <c r="J12" s="10" t="s">
        <v>300</v>
      </c>
      <c r="K12" s="22">
        <v>44273.666666666664</v>
      </c>
      <c r="L12" s="24">
        <v>1.0798611111111112</v>
      </c>
      <c r="N12" s="26">
        <v>0.61111111111111116</v>
      </c>
      <c r="O12" t="s">
        <v>147</v>
      </c>
      <c r="P12" t="s">
        <v>139</v>
      </c>
      <c r="Q12" t="s">
        <v>328</v>
      </c>
      <c r="R12" t="s">
        <v>330</v>
      </c>
      <c r="S12" s="1">
        <v>44272.708333333336</v>
      </c>
      <c r="T12" s="24">
        <v>9.7222222222222224E-2</v>
      </c>
    </row>
    <row r="13" spans="1:20" x14ac:dyDescent="0.3">
      <c r="A13" s="12">
        <v>0.59027777777777779</v>
      </c>
      <c r="B13" s="10" t="s">
        <v>134</v>
      </c>
      <c r="C13" s="10" t="s">
        <v>70</v>
      </c>
      <c r="D13" s="10" t="s">
        <v>303</v>
      </c>
      <c r="F13" s="10">
        <v>26</v>
      </c>
      <c r="G13" s="10">
        <v>1542.5</v>
      </c>
      <c r="H13" s="23">
        <v>4.6459999999999999</v>
      </c>
      <c r="I13" s="10" t="s">
        <v>50</v>
      </c>
      <c r="J13" s="10" t="s">
        <v>305</v>
      </c>
      <c r="K13" s="22">
        <v>44273.34375</v>
      </c>
      <c r="L13" s="24">
        <v>0.75347222222222221</v>
      </c>
      <c r="Q13" t="s">
        <v>331</v>
      </c>
      <c r="R13" t="s">
        <v>330</v>
      </c>
      <c r="S13" s="28">
        <v>44272.708333333336</v>
      </c>
      <c r="T13" s="24">
        <v>9.7222222222222224E-2</v>
      </c>
    </row>
    <row r="14" spans="1:20" x14ac:dyDescent="0.3">
      <c r="A14" s="12">
        <v>0.60763888888888884</v>
      </c>
      <c r="B14" s="10" t="s">
        <v>135</v>
      </c>
      <c r="C14" s="10" t="s">
        <v>105</v>
      </c>
      <c r="D14" s="10">
        <v>88170321854</v>
      </c>
      <c r="F14" s="10">
        <v>1135</v>
      </c>
      <c r="G14" s="10">
        <v>9457.5</v>
      </c>
      <c r="H14" s="23">
        <v>57.175179</v>
      </c>
      <c r="I14" s="10" t="s">
        <v>50</v>
      </c>
      <c r="J14" s="10" t="s">
        <v>84</v>
      </c>
      <c r="K14" s="22">
        <v>44273.75</v>
      </c>
      <c r="L14" s="24">
        <v>1.1423611111111112</v>
      </c>
      <c r="Q14" t="s">
        <v>332</v>
      </c>
      <c r="R14" t="s">
        <v>330</v>
      </c>
      <c r="S14" s="28">
        <v>44272.708333333336</v>
      </c>
      <c r="T14" s="24">
        <v>9.7222222222222224E-2</v>
      </c>
    </row>
    <row r="15" spans="1:20" x14ac:dyDescent="0.3">
      <c r="D15" s="10">
        <v>1703202188</v>
      </c>
      <c r="F15" s="10">
        <v>257</v>
      </c>
      <c r="G15" s="10">
        <v>2842</v>
      </c>
      <c r="H15" s="23">
        <v>23.9</v>
      </c>
      <c r="I15" s="10" t="s">
        <v>50</v>
      </c>
      <c r="J15" s="10" t="s">
        <v>117</v>
      </c>
      <c r="K15" s="22">
        <v>44273.791666666664</v>
      </c>
      <c r="L15" s="24">
        <v>1.1840277777777779</v>
      </c>
      <c r="Q15" t="s">
        <v>333</v>
      </c>
      <c r="R15" t="s">
        <v>330</v>
      </c>
      <c r="S15" s="33">
        <v>44272.708333333336</v>
      </c>
      <c r="T15" s="24">
        <v>9.7222222222222224E-2</v>
      </c>
    </row>
    <row r="16" spans="1:20" x14ac:dyDescent="0.3">
      <c r="D16" s="10" t="s">
        <v>316</v>
      </c>
      <c r="F16" s="10">
        <v>45</v>
      </c>
      <c r="G16" s="10">
        <v>1493.6</v>
      </c>
      <c r="H16" s="23">
        <v>9.6341959999999993</v>
      </c>
      <c r="I16" s="10" t="s">
        <v>50</v>
      </c>
      <c r="J16" s="10" t="s">
        <v>104</v>
      </c>
      <c r="K16" s="22">
        <v>44273.75</v>
      </c>
      <c r="L16" s="24">
        <v>1.1423611111111112</v>
      </c>
      <c r="Q16" t="s">
        <v>334</v>
      </c>
      <c r="R16" t="s">
        <v>330</v>
      </c>
      <c r="S16" s="33">
        <v>44272.708333333336</v>
      </c>
      <c r="T16" s="24">
        <v>9.7222222222222224E-2</v>
      </c>
    </row>
    <row r="17" spans="1:20" x14ac:dyDescent="0.3">
      <c r="D17" s="10" t="s">
        <v>317</v>
      </c>
      <c r="F17" s="10">
        <v>29</v>
      </c>
      <c r="G17" s="10">
        <v>3034.9</v>
      </c>
      <c r="H17" s="23">
        <v>8.7348590000000002</v>
      </c>
      <c r="I17" s="10" t="s">
        <v>50</v>
      </c>
      <c r="J17" s="10" t="s">
        <v>104</v>
      </c>
      <c r="K17" s="22">
        <v>44273.6875</v>
      </c>
      <c r="L17" s="24">
        <v>1.0798611111111112</v>
      </c>
      <c r="Q17" t="s">
        <v>335</v>
      </c>
      <c r="R17" t="s">
        <v>330</v>
      </c>
      <c r="S17" s="33">
        <v>44272.708333333336</v>
      </c>
      <c r="T17" s="24">
        <v>9.7222222222222224E-2</v>
      </c>
    </row>
    <row r="18" spans="1:20" x14ac:dyDescent="0.3">
      <c r="D18" s="10" t="s">
        <v>318</v>
      </c>
      <c r="F18" s="10">
        <v>38</v>
      </c>
      <c r="G18" s="10">
        <v>3953.3</v>
      </c>
      <c r="H18" s="23">
        <v>10.525793999999999</v>
      </c>
      <c r="I18" s="10" t="s">
        <v>50</v>
      </c>
      <c r="J18" s="10" t="s">
        <v>104</v>
      </c>
      <c r="K18" s="22">
        <v>44273.458333333336</v>
      </c>
      <c r="L18" s="24">
        <v>0.85069444444444453</v>
      </c>
      <c r="Q18" t="s">
        <v>336</v>
      </c>
      <c r="R18" t="s">
        <v>330</v>
      </c>
      <c r="S18" s="33">
        <v>44272.708333333336</v>
      </c>
      <c r="T18" s="24">
        <v>9.7222222222222224E-2</v>
      </c>
    </row>
    <row r="19" spans="1:20" x14ac:dyDescent="0.3">
      <c r="D19" s="10" t="s">
        <v>320</v>
      </c>
      <c r="F19" s="10">
        <v>23</v>
      </c>
      <c r="G19" s="10">
        <v>1600</v>
      </c>
      <c r="H19" s="23">
        <v>11.170768000000001</v>
      </c>
      <c r="I19" s="10" t="s">
        <v>50</v>
      </c>
      <c r="J19" s="10" t="s">
        <v>74</v>
      </c>
      <c r="K19" s="22">
        <v>44273.458333333336</v>
      </c>
      <c r="L19" s="24">
        <v>0.85069444444444453</v>
      </c>
      <c r="Q19" t="s">
        <v>337</v>
      </c>
      <c r="R19" t="s">
        <v>330</v>
      </c>
      <c r="S19" s="33">
        <v>44272.708333333336</v>
      </c>
      <c r="T19" s="24">
        <v>9.7222222222222224E-2</v>
      </c>
    </row>
    <row r="20" spans="1:20" x14ac:dyDescent="0.3">
      <c r="D20" s="10" t="s">
        <v>321</v>
      </c>
      <c r="F20" s="10">
        <v>37</v>
      </c>
      <c r="G20" s="10">
        <v>4064.2</v>
      </c>
      <c r="H20" s="23">
        <v>9.8374400000000009</v>
      </c>
      <c r="I20" s="10" t="s">
        <v>50</v>
      </c>
      <c r="J20" s="10" t="s">
        <v>104</v>
      </c>
      <c r="K20" s="22">
        <v>44273.458333333336</v>
      </c>
      <c r="L20" s="24">
        <v>0.85069444444444453</v>
      </c>
      <c r="Q20" t="s">
        <v>338</v>
      </c>
      <c r="R20" t="s">
        <v>330</v>
      </c>
      <c r="S20" s="33">
        <v>44272.708333333336</v>
      </c>
      <c r="T20" s="24">
        <v>9.7222222222222224E-2</v>
      </c>
    </row>
    <row r="21" spans="1:20" x14ac:dyDescent="0.3">
      <c r="D21" s="10" t="s">
        <v>322</v>
      </c>
      <c r="F21" s="10">
        <v>38</v>
      </c>
      <c r="G21" s="10">
        <v>1684.3</v>
      </c>
      <c r="H21" s="23">
        <v>10.601407999999999</v>
      </c>
      <c r="I21" s="10" t="s">
        <v>50</v>
      </c>
      <c r="J21" s="10" t="s">
        <v>104</v>
      </c>
      <c r="K21" s="22">
        <v>44273.458333333336</v>
      </c>
      <c r="L21" s="24">
        <v>0.85069444444444453</v>
      </c>
      <c r="Q21" t="s">
        <v>339</v>
      </c>
      <c r="R21" t="s">
        <v>330</v>
      </c>
      <c r="S21" s="33">
        <v>44272.708333333336</v>
      </c>
      <c r="T21" s="24">
        <v>9.7222222222222224E-2</v>
      </c>
    </row>
    <row r="22" spans="1:20" x14ac:dyDescent="0.3">
      <c r="D22" s="10" t="s">
        <v>323</v>
      </c>
      <c r="F22" s="10">
        <v>20</v>
      </c>
      <c r="G22" s="10">
        <v>2186.8000000000002</v>
      </c>
      <c r="H22" s="23">
        <v>11.545667</v>
      </c>
      <c r="I22" s="10" t="s">
        <v>50</v>
      </c>
      <c r="J22" s="10" t="s">
        <v>84</v>
      </c>
      <c r="K22" s="22">
        <v>44273.791666666664</v>
      </c>
      <c r="L22" s="24">
        <v>1.1840277777777779</v>
      </c>
      <c r="Q22" t="s">
        <v>340</v>
      </c>
      <c r="R22" t="s">
        <v>330</v>
      </c>
      <c r="S22" s="33">
        <v>44272.708333333336</v>
      </c>
      <c r="T22" s="24">
        <v>9.7222222222222224E-2</v>
      </c>
    </row>
    <row r="23" spans="1:20" x14ac:dyDescent="0.3">
      <c r="D23" s="10" t="s">
        <v>324</v>
      </c>
      <c r="F23" s="10">
        <v>45</v>
      </c>
      <c r="G23" s="10">
        <v>1855.3</v>
      </c>
      <c r="H23" s="23">
        <v>8.8358310000000007</v>
      </c>
      <c r="I23" s="10" t="s">
        <v>50</v>
      </c>
      <c r="J23" s="10" t="s">
        <v>104</v>
      </c>
      <c r="K23" s="22">
        <v>44273.75</v>
      </c>
      <c r="L23" s="24">
        <v>1.1423611111111112</v>
      </c>
      <c r="N23" s="26">
        <v>0.625</v>
      </c>
      <c r="O23" t="s">
        <v>124</v>
      </c>
      <c r="P23" t="s">
        <v>67</v>
      </c>
      <c r="Q23" t="s">
        <v>265</v>
      </c>
      <c r="R23" t="s">
        <v>294</v>
      </c>
      <c r="S23" s="33">
        <v>44274.708333333336</v>
      </c>
      <c r="T23" s="24">
        <v>2.0833333333333335</v>
      </c>
    </row>
    <row r="24" spans="1:20" x14ac:dyDescent="0.3">
      <c r="D24" s="10" t="s">
        <v>325</v>
      </c>
      <c r="F24" s="10">
        <v>39</v>
      </c>
      <c r="G24" s="10">
        <v>2087.6999999999998</v>
      </c>
      <c r="H24" s="23">
        <v>10.117969</v>
      </c>
      <c r="I24" s="10" t="s">
        <v>50</v>
      </c>
      <c r="J24" s="10" t="s">
        <v>149</v>
      </c>
      <c r="K24" s="22">
        <v>44273.458333333336</v>
      </c>
      <c r="L24" s="24">
        <v>0.85069444444444453</v>
      </c>
      <c r="S24" s="33"/>
      <c r="T24" s="24"/>
    </row>
    <row r="25" spans="1:20" x14ac:dyDescent="0.3">
      <c r="D25" s="29" t="s">
        <v>326</v>
      </c>
      <c r="F25" s="10">
        <v>10</v>
      </c>
      <c r="G25" s="10">
        <v>1424.2</v>
      </c>
      <c r="H25" s="23">
        <v>9.1909329999999994</v>
      </c>
      <c r="I25" s="10" t="s">
        <v>50</v>
      </c>
      <c r="J25" s="10" t="s">
        <v>74</v>
      </c>
      <c r="K25" s="22">
        <v>44273.75</v>
      </c>
      <c r="L25" s="24">
        <v>1.1423611111111112</v>
      </c>
      <c r="S25" s="33"/>
      <c r="T25" s="24"/>
    </row>
    <row r="26" spans="1:20" x14ac:dyDescent="0.3">
      <c r="D26" s="10" t="s">
        <v>327</v>
      </c>
      <c r="F26" s="10">
        <v>64</v>
      </c>
      <c r="G26" s="10">
        <v>2136.8000000000002</v>
      </c>
      <c r="H26" s="23">
        <v>11.337797999999999</v>
      </c>
      <c r="I26" s="10" t="s">
        <v>50</v>
      </c>
      <c r="J26" s="10" t="s">
        <v>74</v>
      </c>
      <c r="K26" s="22">
        <v>44273.458333333336</v>
      </c>
      <c r="L26" s="24">
        <v>0.85069444444444453</v>
      </c>
      <c r="S26" s="33"/>
      <c r="T26" s="24"/>
    </row>
    <row r="27" spans="1:20" x14ac:dyDescent="0.3">
      <c r="A27" s="12">
        <v>0.625</v>
      </c>
      <c r="B27" s="10" t="s">
        <v>124</v>
      </c>
      <c r="C27" s="10" t="s">
        <v>67</v>
      </c>
      <c r="D27" s="10" t="s">
        <v>266</v>
      </c>
      <c r="F27" s="10">
        <v>61</v>
      </c>
      <c r="G27" s="10">
        <v>623</v>
      </c>
      <c r="H27" s="23">
        <v>3.2661380000000002</v>
      </c>
      <c r="I27" s="10" t="s">
        <v>50</v>
      </c>
      <c r="J27" s="10" t="s">
        <v>54</v>
      </c>
      <c r="K27" s="22"/>
      <c r="S27" s="33"/>
      <c r="T27" s="24"/>
    </row>
    <row r="28" spans="1:20" x14ac:dyDescent="0.3">
      <c r="D28" s="10" t="s">
        <v>344</v>
      </c>
      <c r="F28" s="10">
        <v>71</v>
      </c>
      <c r="G28" s="10">
        <v>855</v>
      </c>
      <c r="H28" s="23">
        <v>5.9294950000000002</v>
      </c>
      <c r="I28" s="10" t="s">
        <v>50</v>
      </c>
      <c r="J28" s="10" t="s">
        <v>92</v>
      </c>
      <c r="K28" s="22">
        <v>44273.6875</v>
      </c>
      <c r="L28" s="24">
        <v>1.0625</v>
      </c>
      <c r="S28" s="33"/>
      <c r="T28" s="24"/>
    </row>
    <row r="29" spans="1:20" x14ac:dyDescent="0.3">
      <c r="D29" s="10" t="s">
        <v>271</v>
      </c>
      <c r="F29" s="10">
        <v>42</v>
      </c>
      <c r="G29" s="10">
        <v>1800</v>
      </c>
      <c r="H29" s="23">
        <v>16.149999999999999</v>
      </c>
      <c r="I29" s="10" t="s">
        <v>50</v>
      </c>
      <c r="J29" s="10" t="s">
        <v>294</v>
      </c>
      <c r="K29" s="22">
        <v>44273.329861111109</v>
      </c>
      <c r="L29" s="24">
        <v>0.70486111111111116</v>
      </c>
      <c r="S29" s="33"/>
      <c r="T29" s="24"/>
    </row>
    <row r="30" spans="1:20" x14ac:dyDescent="0.3">
      <c r="D30" s="10" t="s">
        <v>272</v>
      </c>
      <c r="F30" s="10">
        <v>46</v>
      </c>
      <c r="G30" s="10">
        <v>1148</v>
      </c>
      <c r="H30" s="23">
        <v>6.9110110000000002</v>
      </c>
      <c r="I30" s="10" t="s">
        <v>50</v>
      </c>
      <c r="J30" s="10" t="s">
        <v>294</v>
      </c>
      <c r="K30" s="22">
        <v>44273.708333333336</v>
      </c>
      <c r="L30" s="24" t="s">
        <v>125</v>
      </c>
      <c r="S30" s="33"/>
      <c r="T30" s="24"/>
    </row>
    <row r="31" spans="1:20" x14ac:dyDescent="0.3">
      <c r="D31" s="10" t="s">
        <v>270</v>
      </c>
      <c r="F31" s="10">
        <v>20</v>
      </c>
      <c r="G31" s="10">
        <v>553</v>
      </c>
      <c r="H31" s="23">
        <v>3.37799</v>
      </c>
      <c r="I31" s="10" t="s">
        <v>50</v>
      </c>
      <c r="J31" s="10" t="s">
        <v>294</v>
      </c>
      <c r="K31" s="22">
        <v>44273.708333333336</v>
      </c>
      <c r="L31" s="24" t="s">
        <v>125</v>
      </c>
      <c r="S31" s="38"/>
      <c r="T31" s="24"/>
    </row>
    <row r="32" spans="1:20" x14ac:dyDescent="0.3">
      <c r="D32" s="10" t="s">
        <v>267</v>
      </c>
      <c r="F32" s="10">
        <v>37</v>
      </c>
      <c r="G32" s="10">
        <v>2630</v>
      </c>
      <c r="H32" s="23">
        <v>19.871494999999999</v>
      </c>
      <c r="I32" s="10" t="s">
        <v>50</v>
      </c>
      <c r="J32" s="10" t="s">
        <v>294</v>
      </c>
      <c r="K32" s="22">
        <v>44273.6875</v>
      </c>
      <c r="L32" s="24">
        <v>1.0625</v>
      </c>
      <c r="S32" s="38"/>
      <c r="T32" s="24"/>
    </row>
    <row r="33" spans="4:20" x14ac:dyDescent="0.3">
      <c r="D33" s="10" t="s">
        <v>263</v>
      </c>
      <c r="F33" s="10">
        <v>13</v>
      </c>
      <c r="G33" s="10">
        <v>2380</v>
      </c>
      <c r="H33" s="23">
        <v>11.44</v>
      </c>
      <c r="I33" s="10" t="s">
        <v>50</v>
      </c>
      <c r="J33" s="10" t="s">
        <v>92</v>
      </c>
      <c r="K33" s="22">
        <v>44273.6875</v>
      </c>
      <c r="L33" s="24">
        <v>1.0625</v>
      </c>
      <c r="T33" s="24"/>
    </row>
    <row r="34" spans="4:20" x14ac:dyDescent="0.3">
      <c r="D34" s="10" t="s">
        <v>262</v>
      </c>
      <c r="F34" s="10">
        <v>103</v>
      </c>
      <c r="G34" s="10">
        <v>2815</v>
      </c>
      <c r="H34" s="23">
        <v>7.64</v>
      </c>
      <c r="I34" s="10" t="s">
        <v>50</v>
      </c>
      <c r="J34" s="10" t="s">
        <v>294</v>
      </c>
      <c r="K34" s="22">
        <v>44273.6875</v>
      </c>
      <c r="L34" s="24">
        <v>1.0625</v>
      </c>
      <c r="T34" s="24"/>
    </row>
    <row r="35" spans="4:20" x14ac:dyDescent="0.3">
      <c r="D35" s="10" t="s">
        <v>264</v>
      </c>
      <c r="F35" s="10">
        <v>59</v>
      </c>
      <c r="G35" s="10">
        <v>4710</v>
      </c>
      <c r="H35" s="23">
        <v>9.0419610000000006</v>
      </c>
      <c r="I35" s="10" t="s">
        <v>50</v>
      </c>
      <c r="J35" s="10" t="s">
        <v>104</v>
      </c>
      <c r="K35" s="22">
        <v>44273.6875</v>
      </c>
      <c r="L35" s="24">
        <v>1.0625</v>
      </c>
      <c r="T35" s="24"/>
    </row>
    <row r="36" spans="4:20" x14ac:dyDescent="0.3">
      <c r="D36" s="10" t="s">
        <v>268</v>
      </c>
      <c r="F36" s="10">
        <v>80</v>
      </c>
      <c r="G36" s="10">
        <v>3646</v>
      </c>
      <c r="H36" s="23">
        <v>6.0402490000000002</v>
      </c>
      <c r="I36" s="10" t="s">
        <v>50</v>
      </c>
      <c r="J36" s="10" t="s">
        <v>346</v>
      </c>
      <c r="K36" s="22">
        <v>44273.704861111109</v>
      </c>
      <c r="L36" s="24">
        <v>1.0798611111111112</v>
      </c>
      <c r="T36" s="24"/>
    </row>
    <row r="37" spans="4:20" x14ac:dyDescent="0.3">
      <c r="D37" s="10" t="s">
        <v>269</v>
      </c>
      <c r="F37" s="10">
        <v>58</v>
      </c>
      <c r="G37" s="10">
        <v>769</v>
      </c>
      <c r="H37" s="23">
        <v>4.68</v>
      </c>
      <c r="I37" s="10" t="s">
        <v>50</v>
      </c>
      <c r="J37" s="10" t="s">
        <v>294</v>
      </c>
      <c r="K37" s="22">
        <v>44273.326388888891</v>
      </c>
      <c r="L37" s="24">
        <v>0.70138888888888884</v>
      </c>
      <c r="T37" s="24"/>
    </row>
    <row r="38" spans="4:20" x14ac:dyDescent="0.3">
      <c r="K38" s="22"/>
      <c r="T38" s="24"/>
    </row>
    <row r="39" spans="4:20" x14ac:dyDescent="0.3">
      <c r="K39" s="22"/>
      <c r="T39" s="24"/>
    </row>
    <row r="40" spans="4:20" x14ac:dyDescent="0.3">
      <c r="K40" s="22"/>
      <c r="T40" s="24"/>
    </row>
    <row r="41" spans="4:20" x14ac:dyDescent="0.3">
      <c r="K41" s="22"/>
      <c r="T41" s="24"/>
    </row>
    <row r="42" spans="4:20" x14ac:dyDescent="0.3">
      <c r="K42" s="22"/>
      <c r="T42" s="24"/>
    </row>
    <row r="43" spans="4:20" x14ac:dyDescent="0.3">
      <c r="K43" s="22"/>
      <c r="T43" s="24"/>
    </row>
    <row r="44" spans="4:20" x14ac:dyDescent="0.3">
      <c r="K44" s="22"/>
      <c r="T44" s="24"/>
    </row>
    <row r="45" spans="4:20" x14ac:dyDescent="0.3">
      <c r="K45" s="22"/>
      <c r="T45" s="24"/>
    </row>
    <row r="46" spans="4:20" x14ac:dyDescent="0.3">
      <c r="K46" s="22"/>
      <c r="T46" s="24"/>
    </row>
    <row r="47" spans="4:20" x14ac:dyDescent="0.3">
      <c r="K47" s="22"/>
      <c r="T47" s="24"/>
    </row>
    <row r="48" spans="4:20" x14ac:dyDescent="0.3">
      <c r="K48" s="22"/>
      <c r="T48" s="24"/>
    </row>
    <row r="49" spans="11:20" x14ac:dyDescent="0.3">
      <c r="K49" s="22"/>
      <c r="T49" s="24"/>
    </row>
    <row r="50" spans="11:20" x14ac:dyDescent="0.3">
      <c r="K50" s="22"/>
      <c r="T50" s="24"/>
    </row>
    <row r="51" spans="11:20" x14ac:dyDescent="0.3">
      <c r="K51" s="22"/>
      <c r="T51" s="24"/>
    </row>
    <row r="52" spans="11:20" x14ac:dyDescent="0.3">
      <c r="K52" s="22"/>
      <c r="T52" s="24"/>
    </row>
    <row r="53" spans="11:20" x14ac:dyDescent="0.3">
      <c r="K53" s="22"/>
      <c r="T53" s="24"/>
    </row>
    <row r="54" spans="11:20" x14ac:dyDescent="0.3">
      <c r="K54" s="22"/>
      <c r="T54" s="24"/>
    </row>
    <row r="55" spans="11:20" x14ac:dyDescent="0.3">
      <c r="K55" s="22"/>
      <c r="T55" s="24"/>
    </row>
    <row r="56" spans="11:20" x14ac:dyDescent="0.3">
      <c r="K56" s="22"/>
      <c r="T56" s="24"/>
    </row>
    <row r="57" spans="11:20" x14ac:dyDescent="0.3">
      <c r="K57" s="22"/>
      <c r="T57" s="24"/>
    </row>
    <row r="58" spans="11:20" x14ac:dyDescent="0.3">
      <c r="K58" s="22"/>
      <c r="T58" s="24"/>
    </row>
    <row r="59" spans="11:20" x14ac:dyDescent="0.3">
      <c r="K59" s="22"/>
      <c r="T59" s="24"/>
    </row>
    <row r="60" spans="11:20" x14ac:dyDescent="0.3">
      <c r="K60" s="22"/>
      <c r="T60" s="24"/>
    </row>
    <row r="61" spans="11:20" x14ac:dyDescent="0.3">
      <c r="K61" s="22"/>
      <c r="T61" s="24"/>
    </row>
    <row r="62" spans="11:20" x14ac:dyDescent="0.3">
      <c r="K62" s="22"/>
      <c r="T62" s="24"/>
    </row>
    <row r="63" spans="11:20" x14ac:dyDescent="0.3">
      <c r="K63" s="22"/>
      <c r="T63" s="24"/>
    </row>
    <row r="64" spans="11:20" x14ac:dyDescent="0.3">
      <c r="K64" s="22"/>
      <c r="T64" s="24"/>
    </row>
    <row r="65" spans="11:20" x14ac:dyDescent="0.3">
      <c r="K65" s="22"/>
      <c r="T65" s="24"/>
    </row>
    <row r="66" spans="11:20" x14ac:dyDescent="0.3">
      <c r="K66" s="22"/>
      <c r="T66" s="24"/>
    </row>
    <row r="67" spans="11:20" x14ac:dyDescent="0.3">
      <c r="K67" s="22"/>
      <c r="T67" s="24"/>
    </row>
    <row r="68" spans="11:20" x14ac:dyDescent="0.3">
      <c r="K68" s="22"/>
      <c r="T68" s="24"/>
    </row>
    <row r="69" spans="11:20" x14ac:dyDescent="0.3">
      <c r="K69" s="22"/>
      <c r="T69" s="24"/>
    </row>
    <row r="70" spans="11:20" x14ac:dyDescent="0.3">
      <c r="K70" s="22"/>
      <c r="T70" s="24"/>
    </row>
    <row r="71" spans="11:20" x14ac:dyDescent="0.3">
      <c r="K71" s="22"/>
      <c r="T71" s="24"/>
    </row>
    <row r="72" spans="11:20" x14ac:dyDescent="0.3">
      <c r="K72" s="22"/>
      <c r="T72" s="24"/>
    </row>
    <row r="73" spans="11:20" x14ac:dyDescent="0.3">
      <c r="K73" s="22"/>
      <c r="T73" s="24"/>
    </row>
    <row r="74" spans="11:20" x14ac:dyDescent="0.3">
      <c r="K74" s="22"/>
      <c r="T74" s="24"/>
    </row>
    <row r="75" spans="11:20" x14ac:dyDescent="0.3">
      <c r="K75" s="22"/>
      <c r="T75" s="24"/>
    </row>
    <row r="76" spans="11:20" x14ac:dyDescent="0.3">
      <c r="K76" s="22"/>
      <c r="T76" s="24"/>
    </row>
    <row r="77" spans="11:20" x14ac:dyDescent="0.3">
      <c r="K77" s="22"/>
      <c r="T77" s="24"/>
    </row>
    <row r="78" spans="11:20" x14ac:dyDescent="0.3">
      <c r="K78" s="22"/>
      <c r="T78" s="24"/>
    </row>
    <row r="79" spans="11:20" x14ac:dyDescent="0.3">
      <c r="K79" s="22"/>
      <c r="T79" s="24"/>
    </row>
    <row r="80" spans="11:20" x14ac:dyDescent="0.3">
      <c r="K80" s="22"/>
      <c r="T80" s="24"/>
    </row>
    <row r="81" spans="11:20" x14ac:dyDescent="0.3">
      <c r="K81" s="22"/>
      <c r="T81" s="24"/>
    </row>
    <row r="82" spans="11:20" x14ac:dyDescent="0.3">
      <c r="K82" s="22"/>
      <c r="T82" s="24"/>
    </row>
    <row r="83" spans="11:20" x14ac:dyDescent="0.3">
      <c r="K83" s="22"/>
      <c r="T83" s="24"/>
    </row>
    <row r="84" spans="11:20" x14ac:dyDescent="0.3">
      <c r="K84" s="22"/>
      <c r="T84" s="24"/>
    </row>
    <row r="85" spans="11:20" x14ac:dyDescent="0.3">
      <c r="K85" s="22"/>
      <c r="T85" s="24"/>
    </row>
    <row r="86" spans="11:20" x14ac:dyDescent="0.3">
      <c r="K86" s="22"/>
      <c r="T86" s="24"/>
    </row>
    <row r="87" spans="11:20" x14ac:dyDescent="0.3">
      <c r="K87" s="22"/>
      <c r="T87" s="24"/>
    </row>
    <row r="88" spans="11:20" x14ac:dyDescent="0.3">
      <c r="K88" s="22"/>
    </row>
    <row r="89" spans="11:20" x14ac:dyDescent="0.3">
      <c r="K89" s="22"/>
    </row>
    <row r="90" spans="11:20" x14ac:dyDescent="0.3">
      <c r="K90" s="22"/>
    </row>
    <row r="91" spans="11:20" x14ac:dyDescent="0.3">
      <c r="K91" s="22"/>
    </row>
    <row r="92" spans="11:20" x14ac:dyDescent="0.3">
      <c r="K92" s="22"/>
    </row>
    <row r="93" spans="11:20" x14ac:dyDescent="0.3">
      <c r="K93" s="22"/>
    </row>
    <row r="94" spans="11:20" x14ac:dyDescent="0.3">
      <c r="K94" s="22"/>
    </row>
    <row r="95" spans="11:20" x14ac:dyDescent="0.3">
      <c r="K95" s="22"/>
    </row>
    <row r="96" spans="11:20" x14ac:dyDescent="0.3">
      <c r="K96" s="22"/>
    </row>
    <row r="97" spans="11:11" x14ac:dyDescent="0.3">
      <c r="K97" s="22"/>
    </row>
    <row r="98" spans="11:11" x14ac:dyDescent="0.3">
      <c r="K98" s="22"/>
    </row>
    <row r="99" spans="11:11" x14ac:dyDescent="0.3">
      <c r="K99" s="22"/>
    </row>
    <row r="100" spans="11:11" x14ac:dyDescent="0.3">
      <c r="K100" s="22"/>
    </row>
    <row r="101" spans="11:11" x14ac:dyDescent="0.3">
      <c r="K101" s="22"/>
    </row>
    <row r="102" spans="11:11" x14ac:dyDescent="0.3">
      <c r="K102" s="22"/>
    </row>
    <row r="103" spans="11:11" x14ac:dyDescent="0.3">
      <c r="K103" s="22"/>
    </row>
    <row r="104" spans="11:11" x14ac:dyDescent="0.3">
      <c r="K104" s="22"/>
    </row>
    <row r="105" spans="11:11" x14ac:dyDescent="0.3">
      <c r="K105" s="22"/>
    </row>
    <row r="106" spans="11:11" x14ac:dyDescent="0.3">
      <c r="K106" s="22"/>
    </row>
    <row r="107" spans="11:11" x14ac:dyDescent="0.3">
      <c r="K107" s="22"/>
    </row>
    <row r="108" spans="11:11" x14ac:dyDescent="0.3">
      <c r="K108" s="22"/>
    </row>
    <row r="109" spans="11:11" x14ac:dyDescent="0.3">
      <c r="K109" s="22"/>
    </row>
    <row r="110" spans="11:11" x14ac:dyDescent="0.3">
      <c r="K110" s="22"/>
    </row>
    <row r="111" spans="11:11" x14ac:dyDescent="0.3">
      <c r="K111" s="22"/>
    </row>
    <row r="112" spans="11:11" x14ac:dyDescent="0.3">
      <c r="K112" s="22"/>
    </row>
    <row r="113" spans="11:11" x14ac:dyDescent="0.3">
      <c r="K113" s="22"/>
    </row>
    <row r="114" spans="11:11" x14ac:dyDescent="0.3">
      <c r="K114" s="22"/>
    </row>
    <row r="115" spans="11:11" x14ac:dyDescent="0.3">
      <c r="K115" s="22"/>
    </row>
    <row r="116" spans="11:11" x14ac:dyDescent="0.3">
      <c r="K116" s="22"/>
    </row>
    <row r="117" spans="11:11" x14ac:dyDescent="0.3">
      <c r="K117" s="22"/>
    </row>
    <row r="118" spans="11:11" x14ac:dyDescent="0.3">
      <c r="K118" s="22"/>
    </row>
    <row r="119" spans="11:11" x14ac:dyDescent="0.3">
      <c r="K119" s="22"/>
    </row>
    <row r="120" spans="11:11" x14ac:dyDescent="0.3">
      <c r="K120" s="22"/>
    </row>
    <row r="121" spans="11:11" x14ac:dyDescent="0.3">
      <c r="K121" s="22"/>
    </row>
    <row r="122" spans="11:11" x14ac:dyDescent="0.3">
      <c r="K122" s="22"/>
    </row>
    <row r="123" spans="11:11" x14ac:dyDescent="0.3">
      <c r="K123" s="22"/>
    </row>
    <row r="124" spans="11:11" x14ac:dyDescent="0.3">
      <c r="K124" s="22"/>
    </row>
    <row r="125" spans="11:11" x14ac:dyDescent="0.3">
      <c r="K125" s="22"/>
    </row>
    <row r="126" spans="11:11" x14ac:dyDescent="0.3">
      <c r="K126" s="22"/>
    </row>
    <row r="127" spans="11:11" x14ac:dyDescent="0.3">
      <c r="K127" s="22"/>
    </row>
    <row r="128" spans="11:11" x14ac:dyDescent="0.3">
      <c r="K128" s="22"/>
    </row>
    <row r="129" spans="11:11" x14ac:dyDescent="0.3">
      <c r="K129" s="22"/>
    </row>
    <row r="130" spans="11:11" x14ac:dyDescent="0.3">
      <c r="K130" s="22"/>
    </row>
    <row r="131" spans="11:11" x14ac:dyDescent="0.3">
      <c r="K131" s="22"/>
    </row>
    <row r="132" spans="11:11" x14ac:dyDescent="0.3">
      <c r="K132" s="22"/>
    </row>
    <row r="133" spans="11:11" x14ac:dyDescent="0.3">
      <c r="K133" s="22"/>
    </row>
    <row r="134" spans="11:11" x14ac:dyDescent="0.3">
      <c r="K134" s="22"/>
    </row>
    <row r="135" spans="11:11" x14ac:dyDescent="0.3">
      <c r="K135" s="22"/>
    </row>
    <row r="136" spans="11:11" x14ac:dyDescent="0.3">
      <c r="K136" s="22"/>
    </row>
    <row r="137" spans="11:11" x14ac:dyDescent="0.3">
      <c r="K137" s="22"/>
    </row>
    <row r="138" spans="11:11" x14ac:dyDescent="0.3">
      <c r="K138" s="22"/>
    </row>
    <row r="139" spans="11:11" x14ac:dyDescent="0.3">
      <c r="K139" s="22"/>
    </row>
    <row r="140" spans="11:11" x14ac:dyDescent="0.3">
      <c r="K140" s="22"/>
    </row>
    <row r="141" spans="11:11" x14ac:dyDescent="0.3">
      <c r="K141" s="22"/>
    </row>
    <row r="142" spans="11:11" x14ac:dyDescent="0.3">
      <c r="K142" s="22"/>
    </row>
    <row r="143" spans="11:11" x14ac:dyDescent="0.3">
      <c r="K143" s="22"/>
    </row>
    <row r="144" spans="11:11" x14ac:dyDescent="0.3">
      <c r="K144" s="22"/>
    </row>
    <row r="145" spans="11:11" x14ac:dyDescent="0.3">
      <c r="K145" s="22"/>
    </row>
    <row r="146" spans="11:11" x14ac:dyDescent="0.3">
      <c r="K146" s="22"/>
    </row>
    <row r="147" spans="11:11" x14ac:dyDescent="0.3">
      <c r="K147" s="22"/>
    </row>
    <row r="148" spans="11:11" x14ac:dyDescent="0.3">
      <c r="K148" s="22"/>
    </row>
    <row r="149" spans="11:11" x14ac:dyDescent="0.3">
      <c r="K149" s="22"/>
    </row>
    <row r="150" spans="11:11" x14ac:dyDescent="0.3">
      <c r="K150" s="22"/>
    </row>
    <row r="151" spans="11:11" x14ac:dyDescent="0.3">
      <c r="K151" s="22"/>
    </row>
    <row r="152" spans="11:11" x14ac:dyDescent="0.3">
      <c r="K152" s="22"/>
    </row>
    <row r="153" spans="11:11" x14ac:dyDescent="0.3">
      <c r="K153" s="22"/>
    </row>
    <row r="154" spans="11:11" x14ac:dyDescent="0.3">
      <c r="K154" s="22"/>
    </row>
    <row r="155" spans="11:11" x14ac:dyDescent="0.3">
      <c r="K155" s="22"/>
    </row>
    <row r="156" spans="11:11" x14ac:dyDescent="0.3">
      <c r="K156" s="22"/>
    </row>
    <row r="157" spans="11:11" x14ac:dyDescent="0.3">
      <c r="K157" s="22"/>
    </row>
    <row r="158" spans="11:11" x14ac:dyDescent="0.3">
      <c r="K158" s="22"/>
    </row>
    <row r="159" spans="11:11" x14ac:dyDescent="0.3">
      <c r="K159" s="22"/>
    </row>
    <row r="160" spans="11:11" x14ac:dyDescent="0.3">
      <c r="K160" s="22"/>
    </row>
    <row r="161" spans="11:11" x14ac:dyDescent="0.3">
      <c r="K161" s="22"/>
    </row>
    <row r="162" spans="11:11" x14ac:dyDescent="0.3">
      <c r="K162" s="22"/>
    </row>
    <row r="163" spans="11:11" x14ac:dyDescent="0.3">
      <c r="K163" s="22"/>
    </row>
    <row r="164" spans="11:11" x14ac:dyDescent="0.3">
      <c r="K164" s="22"/>
    </row>
    <row r="165" spans="11:11" x14ac:dyDescent="0.3">
      <c r="K165" s="22"/>
    </row>
    <row r="166" spans="11:11" x14ac:dyDescent="0.3">
      <c r="K166" s="22"/>
    </row>
    <row r="167" spans="11:11" x14ac:dyDescent="0.3">
      <c r="K167" s="22"/>
    </row>
    <row r="168" spans="11:11" x14ac:dyDescent="0.3">
      <c r="K168" s="22"/>
    </row>
    <row r="169" spans="11:11" x14ac:dyDescent="0.3">
      <c r="K169" s="22"/>
    </row>
    <row r="170" spans="11:11" x14ac:dyDescent="0.3">
      <c r="K170" s="22"/>
    </row>
    <row r="171" spans="11:11" x14ac:dyDescent="0.3">
      <c r="K171" s="22"/>
    </row>
    <row r="172" spans="11:11" x14ac:dyDescent="0.3">
      <c r="K172" s="22"/>
    </row>
    <row r="173" spans="11:11" x14ac:dyDescent="0.3">
      <c r="K173" s="22"/>
    </row>
    <row r="174" spans="11:11" x14ac:dyDescent="0.3">
      <c r="K174" s="22"/>
    </row>
    <row r="175" spans="11:11" x14ac:dyDescent="0.3">
      <c r="K175" s="22"/>
    </row>
    <row r="176" spans="11:11" x14ac:dyDescent="0.3">
      <c r="K176" s="22"/>
    </row>
    <row r="177" spans="11:11" x14ac:dyDescent="0.3">
      <c r="K177" s="22"/>
    </row>
    <row r="178" spans="11:11" x14ac:dyDescent="0.3">
      <c r="K178" s="22"/>
    </row>
    <row r="179" spans="11:11" x14ac:dyDescent="0.3">
      <c r="K179" s="22"/>
    </row>
    <row r="180" spans="11:11" x14ac:dyDescent="0.3">
      <c r="K180" s="22"/>
    </row>
    <row r="181" spans="11:11" x14ac:dyDescent="0.3">
      <c r="K181" s="22"/>
    </row>
    <row r="182" spans="11:11" x14ac:dyDescent="0.3">
      <c r="K182" s="22"/>
    </row>
    <row r="183" spans="11:11" x14ac:dyDescent="0.3">
      <c r="K183" s="22"/>
    </row>
    <row r="184" spans="11:11" x14ac:dyDescent="0.3">
      <c r="K184" s="22"/>
    </row>
    <row r="185" spans="11:11" x14ac:dyDescent="0.3">
      <c r="K185" s="22"/>
    </row>
    <row r="186" spans="11:11" x14ac:dyDescent="0.3">
      <c r="K186" s="22"/>
    </row>
    <row r="187" spans="11:11" x14ac:dyDescent="0.3">
      <c r="K187" s="22"/>
    </row>
    <row r="188" spans="11:11" x14ac:dyDescent="0.3">
      <c r="K188" s="22"/>
    </row>
    <row r="189" spans="11:11" x14ac:dyDescent="0.3">
      <c r="K189" s="22"/>
    </row>
    <row r="190" spans="11:11" x14ac:dyDescent="0.3">
      <c r="K190" s="22"/>
    </row>
    <row r="191" spans="11:11" x14ac:dyDescent="0.3">
      <c r="K191" s="22"/>
    </row>
    <row r="192" spans="11:11" x14ac:dyDescent="0.3">
      <c r="K192" s="22"/>
    </row>
    <row r="193" spans="11:11" x14ac:dyDescent="0.3">
      <c r="K193" s="22"/>
    </row>
    <row r="194" spans="11:11" x14ac:dyDescent="0.3">
      <c r="K194" s="22"/>
    </row>
    <row r="195" spans="11:11" x14ac:dyDescent="0.3">
      <c r="K195" s="22"/>
    </row>
    <row r="197" spans="11:11" x14ac:dyDescent="0.3">
      <c r="K197" s="22"/>
    </row>
    <row r="198" spans="11:11" x14ac:dyDescent="0.3">
      <c r="K198" s="22"/>
    </row>
    <row r="199" spans="11:11" x14ac:dyDescent="0.3">
      <c r="K199" s="22"/>
    </row>
    <row r="200" spans="11:11" x14ac:dyDescent="0.3">
      <c r="K200" s="22"/>
    </row>
    <row r="201" spans="11:11" x14ac:dyDescent="0.3">
      <c r="K201" s="22"/>
    </row>
    <row r="202" spans="11:11" x14ac:dyDescent="0.3">
      <c r="K202" s="22"/>
    </row>
    <row r="203" spans="11:11" x14ac:dyDescent="0.3">
      <c r="K203" s="22"/>
    </row>
    <row r="204" spans="11:11" x14ac:dyDescent="0.3">
      <c r="K204" s="22"/>
    </row>
    <row r="205" spans="11:11" x14ac:dyDescent="0.3">
      <c r="K205" s="22"/>
    </row>
    <row r="206" spans="11:11" x14ac:dyDescent="0.3">
      <c r="K206" s="22"/>
    </row>
    <row r="207" spans="11:11" x14ac:dyDescent="0.3">
      <c r="K207" s="22"/>
    </row>
    <row r="208" spans="11:11" x14ac:dyDescent="0.3">
      <c r="K208" s="22"/>
    </row>
    <row r="209" spans="11:11" x14ac:dyDescent="0.3">
      <c r="K209" s="22"/>
    </row>
    <row r="210" spans="11:11" x14ac:dyDescent="0.3">
      <c r="K210" s="22"/>
    </row>
    <row r="211" spans="11:11" x14ac:dyDescent="0.3">
      <c r="K211" s="22"/>
    </row>
    <row r="212" spans="11:11" x14ac:dyDescent="0.3">
      <c r="K212" s="22"/>
    </row>
    <row r="214" spans="11:11" x14ac:dyDescent="0.3">
      <c r="K214" s="22"/>
    </row>
    <row r="215" spans="11:11" x14ac:dyDescent="0.3">
      <c r="K215" s="22"/>
    </row>
    <row r="216" spans="11:11" x14ac:dyDescent="0.3">
      <c r="K216" s="22"/>
    </row>
    <row r="217" spans="11:11" x14ac:dyDescent="0.3">
      <c r="K217" s="22"/>
    </row>
    <row r="218" spans="11:11" x14ac:dyDescent="0.3">
      <c r="K218" s="22"/>
    </row>
    <row r="219" spans="11:11" x14ac:dyDescent="0.3">
      <c r="K219" s="22"/>
    </row>
    <row r="220" spans="11:11" x14ac:dyDescent="0.3">
      <c r="K220" s="22"/>
    </row>
    <row r="221" spans="11:11" x14ac:dyDescent="0.3">
      <c r="K221" s="22"/>
    </row>
    <row r="222" spans="11:11" x14ac:dyDescent="0.3">
      <c r="K222" s="22"/>
    </row>
    <row r="223" spans="11:11" x14ac:dyDescent="0.3">
      <c r="K223" s="22"/>
    </row>
    <row r="224" spans="11:11" x14ac:dyDescent="0.3">
      <c r="K224" s="22"/>
    </row>
    <row r="225" spans="11:11" x14ac:dyDescent="0.3">
      <c r="K225" s="22"/>
    </row>
    <row r="227" spans="11:11" x14ac:dyDescent="0.3">
      <c r="K227" s="22"/>
    </row>
    <row r="228" spans="11:11" x14ac:dyDescent="0.3">
      <c r="K228" s="22"/>
    </row>
    <row r="229" spans="11:11" x14ac:dyDescent="0.3">
      <c r="K229" s="22"/>
    </row>
    <row r="230" spans="11:11" x14ac:dyDescent="0.3">
      <c r="K230" s="22"/>
    </row>
    <row r="233" spans="11:11" x14ac:dyDescent="0.3">
      <c r="K233" s="22"/>
    </row>
    <row r="234" spans="11:11" x14ac:dyDescent="0.3">
      <c r="K234" s="22"/>
    </row>
    <row r="235" spans="11:11" x14ac:dyDescent="0.3">
      <c r="K235" s="22"/>
    </row>
  </sheetData>
  <mergeCells count="2">
    <mergeCell ref="A1:L1"/>
    <mergeCell ref="N1:T1"/>
  </mergeCells>
  <pageMargins left="0.25" right="0.25" top="0.75" bottom="0.75" header="0.3" footer="0.3"/>
  <pageSetup paperSize="9" scale="77" fitToHeight="0" orientation="portrait"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1_StartUi">
                <anchor moveWithCells="1" sizeWithCells="1">
                  <from>
                    <xdr:col>12</xdr:col>
                    <xdr:colOff>45720</xdr:colOff>
                    <xdr:row>0</xdr:row>
                    <xdr:rowOff>30480</xdr:rowOff>
                  </from>
                  <to>
                    <xdr:col>12</xdr:col>
                    <xdr:colOff>579120</xdr:colOff>
                    <xdr:row>1</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T34"/>
  <sheetViews>
    <sheetView tabSelected="1" zoomScaleNormal="100" workbookViewId="0">
      <selection activeCell="B1" sqref="B1"/>
    </sheetView>
  </sheetViews>
  <sheetFormatPr defaultColWidth="8.88671875" defaultRowHeight="18" x14ac:dyDescent="0.35"/>
  <cols>
    <col min="1" max="1" width="7.5546875" style="14" bestFit="1" customWidth="1"/>
    <col min="2" max="2" width="17.44140625" style="15" customWidth="1"/>
    <col min="3" max="4" width="6.88671875" style="15" customWidth="1"/>
    <col min="5" max="5" width="3.44140625" style="15" customWidth="1"/>
    <col min="6" max="6" width="9" style="15" customWidth="1"/>
    <col min="7" max="7" width="17.44140625" style="15" customWidth="1"/>
    <col min="8" max="8" width="9.5546875" style="15" bestFit="1" customWidth="1"/>
    <col min="9" max="9" width="6.88671875" style="15" customWidth="1"/>
    <col min="10" max="10" width="3.44140625" style="15" customWidth="1"/>
    <col min="11" max="11" width="7.5546875" style="15" bestFit="1" customWidth="1"/>
    <col min="12" max="12" width="16.5546875" style="15" bestFit="1" customWidth="1"/>
    <col min="13" max="14" width="6.88671875" style="15" customWidth="1"/>
    <col min="15" max="15" width="3.44140625" style="15" customWidth="1"/>
    <col min="16" max="16" width="8.88671875" style="15"/>
    <col min="17" max="17" width="15.88671875" style="15" customWidth="1"/>
    <col min="18" max="18" width="8.88671875" style="15"/>
    <col min="19" max="19" width="6.44140625" style="15" customWidth="1"/>
    <col min="20" max="20" width="8.88671875" style="15"/>
    <col min="21" max="16384" width="8.88671875" style="16"/>
  </cols>
  <sheetData>
    <row r="1" spans="1:20" ht="20.399999999999999" thickTop="1" thickBot="1" x14ac:dyDescent="0.4">
      <c r="A1" s="18">
        <v>0.58680555555555558</v>
      </c>
      <c r="B1" s="17" t="s">
        <v>123</v>
      </c>
      <c r="C1" s="17" t="s">
        <v>89</v>
      </c>
      <c r="D1" s="37" t="s">
        <v>128</v>
      </c>
      <c r="E1" s="14"/>
      <c r="F1" s="18">
        <v>0.59027777777777779</v>
      </c>
      <c r="G1" s="17" t="s">
        <v>134</v>
      </c>
      <c r="H1" s="17" t="s">
        <v>70</v>
      </c>
      <c r="I1" s="37" t="s">
        <v>128</v>
      </c>
      <c r="K1" s="18">
        <v>0.60763888888888884</v>
      </c>
      <c r="L1" s="17" t="s">
        <v>135</v>
      </c>
      <c r="M1" s="17" t="s">
        <v>105</v>
      </c>
      <c r="N1" s="37" t="s">
        <v>128</v>
      </c>
      <c r="P1" s="18">
        <v>0.61111111111111116</v>
      </c>
      <c r="Q1" s="17" t="s">
        <v>147</v>
      </c>
      <c r="R1" s="17" t="s">
        <v>139</v>
      </c>
      <c r="S1" s="37" t="s">
        <v>128</v>
      </c>
      <c r="T1" s="14"/>
    </row>
    <row r="2" spans="1:20" x14ac:dyDescent="0.35">
      <c r="A2" s="30" t="s">
        <v>79</v>
      </c>
      <c r="B2" s="19" t="s">
        <v>284</v>
      </c>
      <c r="C2" s="19"/>
      <c r="D2" s="36" t="s">
        <v>129</v>
      </c>
      <c r="F2" s="30" t="s">
        <v>88</v>
      </c>
      <c r="G2" s="19" t="s">
        <v>301</v>
      </c>
      <c r="H2" s="19"/>
      <c r="I2" s="36" t="s">
        <v>131</v>
      </c>
      <c r="K2" s="30" t="s">
        <v>79</v>
      </c>
      <c r="L2" s="19" t="s">
        <v>65</v>
      </c>
      <c r="M2" s="19"/>
      <c r="N2" s="36" t="s">
        <v>138</v>
      </c>
      <c r="P2" s="30" t="s">
        <v>88</v>
      </c>
      <c r="Q2" s="19" t="s">
        <v>328</v>
      </c>
      <c r="R2" s="19"/>
      <c r="S2" s="36" t="s">
        <v>376</v>
      </c>
    </row>
    <row r="3" spans="1:20" x14ac:dyDescent="0.35">
      <c r="A3" s="31" t="s">
        <v>79</v>
      </c>
      <c r="B3" s="20" t="s">
        <v>287</v>
      </c>
      <c r="C3" s="20"/>
      <c r="D3" s="34" t="s">
        <v>138</v>
      </c>
      <c r="F3" s="31" t="s">
        <v>79</v>
      </c>
      <c r="G3" s="20" t="s">
        <v>303</v>
      </c>
      <c r="H3" s="20"/>
      <c r="I3" s="34" t="s">
        <v>374</v>
      </c>
      <c r="K3" s="31" t="s">
        <v>79</v>
      </c>
      <c r="L3" s="20" t="s">
        <v>316</v>
      </c>
      <c r="M3" s="20"/>
      <c r="N3" s="34" t="s">
        <v>138</v>
      </c>
      <c r="P3" s="31" t="s">
        <v>88</v>
      </c>
      <c r="Q3" s="20" t="s">
        <v>331</v>
      </c>
      <c r="R3" s="20"/>
      <c r="S3" s="34" t="s">
        <v>376</v>
      </c>
    </row>
    <row r="4" spans="1:20" x14ac:dyDescent="0.35">
      <c r="A4" s="31" t="s">
        <v>79</v>
      </c>
      <c r="B4" s="20" t="s">
        <v>288</v>
      </c>
      <c r="C4" s="20"/>
      <c r="D4" s="34" t="s">
        <v>129</v>
      </c>
      <c r="F4" s="31" t="s">
        <v>88</v>
      </c>
      <c r="G4" s="20" t="s">
        <v>306</v>
      </c>
      <c r="H4" s="20"/>
      <c r="I4" s="34" t="s">
        <v>131</v>
      </c>
      <c r="K4" s="31" t="s">
        <v>79</v>
      </c>
      <c r="L4" s="20" t="s">
        <v>317</v>
      </c>
      <c r="M4" s="20"/>
      <c r="N4" s="34" t="s">
        <v>132</v>
      </c>
      <c r="P4" s="31" t="s">
        <v>88</v>
      </c>
      <c r="Q4" s="20" t="s">
        <v>332</v>
      </c>
      <c r="R4" s="20"/>
      <c r="S4" s="34" t="s">
        <v>376</v>
      </c>
    </row>
    <row r="5" spans="1:20" x14ac:dyDescent="0.35">
      <c r="A5" s="31" t="s">
        <v>79</v>
      </c>
      <c r="B5" s="20" t="s">
        <v>289</v>
      </c>
      <c r="C5" s="20"/>
      <c r="D5" s="34" t="s">
        <v>129</v>
      </c>
      <c r="F5" s="31" t="s">
        <v>88</v>
      </c>
      <c r="G5" s="20" t="s">
        <v>307</v>
      </c>
      <c r="H5" s="20"/>
      <c r="I5" s="34" t="s">
        <v>130</v>
      </c>
      <c r="K5" s="31" t="s">
        <v>79</v>
      </c>
      <c r="L5" s="20" t="s">
        <v>318</v>
      </c>
      <c r="M5" s="20"/>
      <c r="N5" s="34" t="s">
        <v>375</v>
      </c>
      <c r="P5" s="31" t="s">
        <v>88</v>
      </c>
      <c r="Q5" s="20" t="s">
        <v>333</v>
      </c>
      <c r="R5" s="20"/>
      <c r="S5" s="34" t="s">
        <v>376</v>
      </c>
    </row>
    <row r="6" spans="1:20" x14ac:dyDescent="0.35">
      <c r="A6" s="31" t="s">
        <v>79</v>
      </c>
      <c r="B6" s="20" t="s">
        <v>290</v>
      </c>
      <c r="C6" s="20"/>
      <c r="D6" s="34" t="s">
        <v>138</v>
      </c>
      <c r="F6" s="31" t="s">
        <v>88</v>
      </c>
      <c r="G6" s="20" t="s">
        <v>308</v>
      </c>
      <c r="H6" s="20"/>
      <c r="I6" s="34" t="s">
        <v>130</v>
      </c>
      <c r="K6" s="31" t="s">
        <v>79</v>
      </c>
      <c r="L6" s="20" t="s">
        <v>320</v>
      </c>
      <c r="M6" s="20"/>
      <c r="N6" s="34" t="s">
        <v>375</v>
      </c>
      <c r="P6" s="31" t="s">
        <v>88</v>
      </c>
      <c r="Q6" s="20" t="s">
        <v>334</v>
      </c>
      <c r="R6" s="20"/>
      <c r="S6" s="34" t="s">
        <v>376</v>
      </c>
    </row>
    <row r="7" spans="1:20" x14ac:dyDescent="0.35">
      <c r="A7" s="31" t="s">
        <v>79</v>
      </c>
      <c r="B7" s="20" t="s">
        <v>291</v>
      </c>
      <c r="C7" s="20"/>
      <c r="D7" s="34" t="s">
        <v>129</v>
      </c>
      <c r="F7" s="31" t="s">
        <v>88</v>
      </c>
      <c r="G7" s="20" t="s">
        <v>309</v>
      </c>
      <c r="H7" s="20"/>
      <c r="I7" s="34" t="s">
        <v>131</v>
      </c>
      <c r="K7" s="31" t="s">
        <v>79</v>
      </c>
      <c r="L7" s="20" t="s">
        <v>321</v>
      </c>
      <c r="M7" s="20"/>
      <c r="N7" s="34" t="s">
        <v>375</v>
      </c>
      <c r="P7" s="31" t="s">
        <v>88</v>
      </c>
      <c r="Q7" s="20" t="s">
        <v>335</v>
      </c>
      <c r="R7" s="20"/>
      <c r="S7" s="34" t="s">
        <v>376</v>
      </c>
    </row>
    <row r="8" spans="1:20" x14ac:dyDescent="0.35">
      <c r="A8" s="31" t="s">
        <v>79</v>
      </c>
      <c r="B8" s="20" t="s">
        <v>295</v>
      </c>
      <c r="C8" s="20"/>
      <c r="D8" s="34" t="s">
        <v>129</v>
      </c>
      <c r="F8" s="31" t="s">
        <v>88</v>
      </c>
      <c r="G8" s="20" t="s">
        <v>310</v>
      </c>
      <c r="H8" s="20"/>
      <c r="I8" s="34" t="s">
        <v>130</v>
      </c>
      <c r="K8" s="31" t="s">
        <v>79</v>
      </c>
      <c r="L8" s="20" t="s">
        <v>322</v>
      </c>
      <c r="M8" s="20"/>
      <c r="N8" s="34" t="s">
        <v>375</v>
      </c>
      <c r="P8" s="31" t="s">
        <v>88</v>
      </c>
      <c r="Q8" s="20" t="s">
        <v>336</v>
      </c>
      <c r="R8" s="20"/>
      <c r="S8" s="34" t="s">
        <v>376</v>
      </c>
    </row>
    <row r="9" spans="1:20" x14ac:dyDescent="0.35">
      <c r="A9" s="31" t="s">
        <v>79</v>
      </c>
      <c r="B9" s="20" t="s">
        <v>297</v>
      </c>
      <c r="C9" s="20"/>
      <c r="D9" s="34" t="s">
        <v>129</v>
      </c>
      <c r="F9" s="31" t="s">
        <v>88</v>
      </c>
      <c r="G9" s="20" t="s">
        <v>311</v>
      </c>
      <c r="H9" s="20"/>
      <c r="I9" s="34" t="s">
        <v>130</v>
      </c>
      <c r="K9" s="31" t="s">
        <v>79</v>
      </c>
      <c r="L9" s="20" t="s">
        <v>323</v>
      </c>
      <c r="M9" s="20"/>
      <c r="N9" s="34" t="s">
        <v>133</v>
      </c>
      <c r="P9" s="31" t="s">
        <v>88</v>
      </c>
      <c r="Q9" s="20" t="s">
        <v>337</v>
      </c>
      <c r="R9" s="20"/>
      <c r="S9" s="34" t="s">
        <v>376</v>
      </c>
    </row>
    <row r="10" spans="1:20" x14ac:dyDescent="0.35">
      <c r="A10" s="31" t="s">
        <v>79</v>
      </c>
      <c r="B10" s="20" t="s">
        <v>298</v>
      </c>
      <c r="C10" s="20"/>
      <c r="D10" s="34" t="s">
        <v>129</v>
      </c>
      <c r="F10" s="31" t="s">
        <v>88</v>
      </c>
      <c r="G10" s="20" t="s">
        <v>312</v>
      </c>
      <c r="H10" s="20"/>
      <c r="I10" s="34" t="s">
        <v>131</v>
      </c>
      <c r="K10" s="31" t="s">
        <v>79</v>
      </c>
      <c r="L10" s="20" t="s">
        <v>324</v>
      </c>
      <c r="M10" s="20"/>
      <c r="N10" s="34" t="s">
        <v>138</v>
      </c>
      <c r="P10" s="31" t="s">
        <v>88</v>
      </c>
      <c r="Q10" s="20" t="s">
        <v>338</v>
      </c>
      <c r="R10" s="20"/>
      <c r="S10" s="34" t="s">
        <v>376</v>
      </c>
    </row>
    <row r="11" spans="1:20" x14ac:dyDescent="0.35">
      <c r="A11" s="31" t="s">
        <v>79</v>
      </c>
      <c r="B11" s="20" t="s">
        <v>299</v>
      </c>
      <c r="C11" s="20"/>
      <c r="D11" s="34" t="s">
        <v>132</v>
      </c>
      <c r="F11" s="31" t="s">
        <v>88</v>
      </c>
      <c r="G11" s="20" t="s">
        <v>313</v>
      </c>
      <c r="H11" s="20"/>
      <c r="I11" s="34" t="s">
        <v>131</v>
      </c>
      <c r="K11" s="31" t="s">
        <v>79</v>
      </c>
      <c r="L11" s="20" t="s">
        <v>325</v>
      </c>
      <c r="M11" s="20"/>
      <c r="N11" s="34" t="s">
        <v>375</v>
      </c>
      <c r="P11" s="31" t="s">
        <v>88</v>
      </c>
      <c r="Q11" s="20" t="s">
        <v>339</v>
      </c>
      <c r="R11" s="20"/>
      <c r="S11" s="34" t="s">
        <v>376</v>
      </c>
    </row>
    <row r="12" spans="1:20" x14ac:dyDescent="0.35">
      <c r="A12" s="31"/>
      <c r="B12" s="20"/>
      <c r="C12" s="20"/>
      <c r="D12" s="34"/>
      <c r="F12" s="31"/>
      <c r="G12" s="20"/>
      <c r="H12" s="20"/>
      <c r="I12" s="34"/>
      <c r="K12" s="31" t="s">
        <v>79</v>
      </c>
      <c r="L12" s="20" t="s">
        <v>326</v>
      </c>
      <c r="M12" s="20"/>
      <c r="N12" s="34" t="s">
        <v>138</v>
      </c>
      <c r="P12" s="31" t="s">
        <v>88</v>
      </c>
      <c r="Q12" s="20" t="s">
        <v>340</v>
      </c>
      <c r="R12" s="20"/>
      <c r="S12" s="34" t="s">
        <v>376</v>
      </c>
    </row>
    <row r="13" spans="1:20" x14ac:dyDescent="0.35">
      <c r="A13" s="31"/>
      <c r="B13" s="20"/>
      <c r="C13" s="20"/>
      <c r="D13" s="34"/>
      <c r="F13" s="31"/>
      <c r="G13" s="20"/>
      <c r="H13" s="20"/>
      <c r="I13" s="34"/>
      <c r="K13" s="31" t="s">
        <v>79</v>
      </c>
      <c r="L13" s="20" t="s">
        <v>327</v>
      </c>
      <c r="M13" s="20"/>
      <c r="N13" s="34" t="s">
        <v>375</v>
      </c>
      <c r="P13" s="31"/>
      <c r="Q13" s="20"/>
      <c r="R13" s="20"/>
      <c r="S13" s="34"/>
    </row>
    <row r="14" spans="1:20" x14ac:dyDescent="0.35">
      <c r="A14" s="31"/>
      <c r="B14" s="20"/>
      <c r="C14" s="20"/>
      <c r="D14" s="34"/>
      <c r="F14" s="31"/>
      <c r="G14" s="20"/>
      <c r="H14" s="20"/>
      <c r="I14" s="34"/>
      <c r="K14" s="31"/>
      <c r="L14" s="20"/>
      <c r="M14" s="20"/>
      <c r="N14" s="34"/>
      <c r="P14" s="31"/>
      <c r="Q14" s="20"/>
      <c r="R14" s="20"/>
      <c r="S14" s="34"/>
    </row>
    <row r="15" spans="1:20" x14ac:dyDescent="0.35">
      <c r="A15" s="31"/>
      <c r="B15" s="20"/>
      <c r="C15" s="20"/>
      <c r="D15" s="34"/>
      <c r="F15" s="31"/>
      <c r="G15" s="20"/>
      <c r="H15" s="20"/>
      <c r="I15" s="34"/>
      <c r="K15" s="31"/>
      <c r="L15" s="20"/>
      <c r="M15" s="20"/>
      <c r="N15" s="34"/>
      <c r="P15" s="31"/>
      <c r="Q15" s="20"/>
      <c r="R15" s="20"/>
      <c r="S15" s="34"/>
    </row>
    <row r="16" spans="1:20" ht="18.600000000000001" thickBot="1" x14ac:dyDescent="0.4">
      <c r="A16" s="32"/>
      <c r="B16" s="21"/>
      <c r="C16" s="21"/>
      <c r="D16" s="35"/>
      <c r="F16" s="32"/>
      <c r="G16" s="21"/>
      <c r="H16" s="21"/>
      <c r="I16" s="35"/>
      <c r="K16" s="32"/>
      <c r="L16" s="21"/>
      <c r="M16" s="21"/>
      <c r="N16" s="35"/>
      <c r="P16" s="32"/>
      <c r="Q16" s="21"/>
      <c r="R16" s="21"/>
      <c r="S16" s="35"/>
    </row>
    <row r="17" spans="1:19" ht="19.2" thickTop="1" thickBot="1" x14ac:dyDescent="0.4"/>
    <row r="18" spans="1:19" ht="20.399999999999999" thickTop="1" thickBot="1" x14ac:dyDescent="0.4">
      <c r="A18" s="18">
        <v>0.625</v>
      </c>
      <c r="B18" s="17" t="s">
        <v>124</v>
      </c>
      <c r="C18" s="17" t="s">
        <v>67</v>
      </c>
      <c r="D18" s="37" t="s">
        <v>128</v>
      </c>
      <c r="E18" s="14"/>
      <c r="F18" s="18"/>
      <c r="G18" s="17"/>
      <c r="H18" s="17"/>
      <c r="I18" s="37"/>
      <c r="K18" s="18"/>
      <c r="L18" s="17"/>
      <c r="M18" s="17"/>
      <c r="N18" s="37"/>
      <c r="P18" s="18"/>
      <c r="Q18" s="17"/>
      <c r="R18" s="17"/>
      <c r="S18" s="37"/>
    </row>
    <row r="19" spans="1:19" x14ac:dyDescent="0.35">
      <c r="A19" s="30" t="s">
        <v>79</v>
      </c>
      <c r="B19" s="19" t="s">
        <v>266</v>
      </c>
      <c r="C19" s="19"/>
      <c r="D19" s="36" t="s">
        <v>130</v>
      </c>
      <c r="F19" s="30"/>
      <c r="G19" s="19"/>
      <c r="H19" s="19"/>
      <c r="I19" s="36"/>
      <c r="K19" s="30"/>
      <c r="L19" s="19"/>
      <c r="M19" s="19"/>
      <c r="N19" s="36"/>
      <c r="P19" s="30"/>
      <c r="Q19" s="19"/>
      <c r="R19" s="19"/>
      <c r="S19" s="36"/>
    </row>
    <row r="20" spans="1:19" x14ac:dyDescent="0.35">
      <c r="A20" s="31" t="s">
        <v>79</v>
      </c>
      <c r="B20" s="20" t="s">
        <v>344</v>
      </c>
      <c r="C20" s="20"/>
      <c r="D20" s="34" t="s">
        <v>132</v>
      </c>
      <c r="F20" s="31"/>
      <c r="G20" s="20"/>
      <c r="H20" s="20"/>
      <c r="I20" s="34"/>
      <c r="K20" s="31"/>
      <c r="L20" s="20"/>
      <c r="M20" s="20"/>
      <c r="N20" s="34"/>
      <c r="P20" s="31"/>
      <c r="Q20" s="20"/>
      <c r="R20" s="20"/>
      <c r="S20" s="34"/>
    </row>
    <row r="21" spans="1:19" x14ac:dyDescent="0.35">
      <c r="A21" s="31" t="s">
        <v>79</v>
      </c>
      <c r="B21" s="20" t="s">
        <v>271</v>
      </c>
      <c r="C21" s="20"/>
      <c r="D21" s="34" t="s">
        <v>377</v>
      </c>
      <c r="F21" s="31"/>
      <c r="G21" s="20"/>
      <c r="H21" s="20"/>
      <c r="I21" s="34"/>
      <c r="K21" s="31"/>
      <c r="L21" s="20"/>
      <c r="M21" s="20"/>
      <c r="N21" s="34"/>
      <c r="P21" s="31"/>
      <c r="Q21" s="20"/>
      <c r="R21" s="20"/>
      <c r="S21" s="34"/>
    </row>
    <row r="22" spans="1:19" x14ac:dyDescent="0.35">
      <c r="A22" s="31" t="s">
        <v>79</v>
      </c>
      <c r="B22" s="20" t="s">
        <v>272</v>
      </c>
      <c r="C22" s="20"/>
      <c r="D22" s="34" t="s">
        <v>132</v>
      </c>
      <c r="F22" s="31"/>
      <c r="G22" s="20"/>
      <c r="H22" s="20"/>
      <c r="I22" s="34"/>
      <c r="K22" s="31"/>
      <c r="L22" s="20"/>
      <c r="M22" s="20"/>
      <c r="N22" s="34"/>
      <c r="P22" s="31"/>
      <c r="Q22" s="20"/>
      <c r="R22" s="20"/>
      <c r="S22" s="34"/>
    </row>
    <row r="23" spans="1:19" x14ac:dyDescent="0.35">
      <c r="A23" s="31" t="s">
        <v>79</v>
      </c>
      <c r="B23" s="20" t="s">
        <v>270</v>
      </c>
      <c r="C23" s="20"/>
      <c r="D23" s="34" t="s">
        <v>132</v>
      </c>
      <c r="F23" s="31"/>
      <c r="G23" s="20"/>
      <c r="H23" s="20"/>
      <c r="I23" s="34"/>
      <c r="K23" s="31"/>
      <c r="L23" s="20"/>
      <c r="M23" s="20"/>
      <c r="N23" s="34"/>
      <c r="P23" s="31"/>
      <c r="Q23" s="20"/>
      <c r="R23" s="20"/>
      <c r="S23" s="34"/>
    </row>
    <row r="24" spans="1:19" x14ac:dyDescent="0.35">
      <c r="A24" s="31" t="s">
        <v>79</v>
      </c>
      <c r="B24" s="20" t="s">
        <v>267</v>
      </c>
      <c r="C24" s="20"/>
      <c r="D24" s="34" t="s">
        <v>132</v>
      </c>
      <c r="F24" s="31"/>
      <c r="G24" s="20"/>
      <c r="H24" s="20"/>
      <c r="I24" s="34"/>
      <c r="K24" s="31"/>
      <c r="L24" s="20"/>
      <c r="M24" s="20"/>
      <c r="N24" s="34"/>
      <c r="P24" s="31"/>
      <c r="Q24" s="20"/>
      <c r="R24" s="20"/>
      <c r="S24" s="34"/>
    </row>
    <row r="25" spans="1:19" x14ac:dyDescent="0.35">
      <c r="A25" s="31" t="s">
        <v>79</v>
      </c>
      <c r="B25" s="20" t="s">
        <v>263</v>
      </c>
      <c r="C25" s="20"/>
      <c r="D25" s="34" t="s">
        <v>132</v>
      </c>
      <c r="F25" s="31"/>
      <c r="G25" s="20"/>
      <c r="H25" s="20"/>
      <c r="I25" s="34"/>
      <c r="K25" s="31"/>
      <c r="L25" s="20"/>
      <c r="M25" s="20"/>
      <c r="N25" s="34"/>
      <c r="P25" s="31"/>
      <c r="Q25" s="20"/>
      <c r="R25" s="20"/>
      <c r="S25" s="34"/>
    </row>
    <row r="26" spans="1:19" x14ac:dyDescent="0.35">
      <c r="A26" s="31" t="s">
        <v>79</v>
      </c>
      <c r="B26" s="20" t="s">
        <v>262</v>
      </c>
      <c r="C26" s="20"/>
      <c r="D26" s="34" t="s">
        <v>132</v>
      </c>
      <c r="F26" s="31"/>
      <c r="G26" s="20"/>
      <c r="H26" s="20"/>
      <c r="I26" s="34"/>
      <c r="K26" s="31"/>
      <c r="L26" s="20"/>
      <c r="M26" s="20"/>
      <c r="N26" s="34"/>
      <c r="P26" s="31"/>
      <c r="Q26" s="20"/>
      <c r="R26" s="20"/>
      <c r="S26" s="34"/>
    </row>
    <row r="27" spans="1:19" x14ac:dyDescent="0.35">
      <c r="A27" s="31" t="s">
        <v>79</v>
      </c>
      <c r="B27" s="20" t="s">
        <v>264</v>
      </c>
      <c r="C27" s="20"/>
      <c r="D27" s="34" t="s">
        <v>132</v>
      </c>
      <c r="F27" s="31"/>
      <c r="G27" s="20"/>
      <c r="H27" s="20"/>
      <c r="I27" s="34"/>
      <c r="K27" s="31"/>
      <c r="L27" s="20"/>
      <c r="M27" s="20"/>
      <c r="N27" s="34"/>
      <c r="P27" s="31"/>
      <c r="Q27" s="20"/>
      <c r="R27" s="20"/>
      <c r="S27" s="34"/>
    </row>
    <row r="28" spans="1:19" x14ac:dyDescent="0.35">
      <c r="A28" s="31" t="s">
        <v>88</v>
      </c>
      <c r="B28" s="20" t="s">
        <v>265</v>
      </c>
      <c r="C28" s="20"/>
      <c r="D28" s="34" t="s">
        <v>378</v>
      </c>
      <c r="F28" s="31"/>
      <c r="G28" s="20"/>
      <c r="H28" s="20"/>
      <c r="I28" s="34"/>
      <c r="K28" s="31"/>
      <c r="L28" s="20"/>
      <c r="M28" s="20"/>
      <c r="N28" s="34"/>
      <c r="P28" s="31"/>
      <c r="Q28" s="20"/>
      <c r="R28" s="20"/>
      <c r="S28" s="34"/>
    </row>
    <row r="29" spans="1:19" x14ac:dyDescent="0.35">
      <c r="A29" s="31" t="s">
        <v>79</v>
      </c>
      <c r="B29" s="20" t="s">
        <v>268</v>
      </c>
      <c r="C29" s="20"/>
      <c r="D29" s="34" t="s">
        <v>132</v>
      </c>
      <c r="F29" s="31"/>
      <c r="G29" s="20"/>
      <c r="H29" s="20"/>
      <c r="I29" s="34"/>
      <c r="K29" s="31"/>
      <c r="L29" s="20"/>
      <c r="M29" s="20"/>
      <c r="N29" s="34"/>
      <c r="P29" s="31"/>
      <c r="Q29" s="20"/>
      <c r="R29" s="20"/>
      <c r="S29" s="34"/>
    </row>
    <row r="30" spans="1:19" x14ac:dyDescent="0.35">
      <c r="A30" s="31" t="s">
        <v>79</v>
      </c>
      <c r="B30" s="20" t="s">
        <v>269</v>
      </c>
      <c r="C30" s="20"/>
      <c r="D30" s="34" t="s">
        <v>377</v>
      </c>
      <c r="F30" s="31"/>
      <c r="G30" s="20"/>
      <c r="H30" s="20"/>
      <c r="I30" s="34"/>
      <c r="K30" s="31"/>
      <c r="L30" s="20"/>
      <c r="M30" s="20"/>
      <c r="N30" s="34"/>
      <c r="P30" s="31"/>
      <c r="Q30" s="20"/>
      <c r="R30" s="20"/>
      <c r="S30" s="34"/>
    </row>
    <row r="31" spans="1:19" x14ac:dyDescent="0.35">
      <c r="A31" s="31"/>
      <c r="B31" s="20"/>
      <c r="C31" s="20"/>
      <c r="D31" s="34"/>
      <c r="F31" s="31"/>
      <c r="G31" s="20"/>
      <c r="H31" s="20"/>
      <c r="I31" s="34"/>
      <c r="K31" s="31"/>
      <c r="L31" s="20"/>
      <c r="M31" s="20"/>
      <c r="N31" s="34"/>
      <c r="P31" s="31"/>
      <c r="Q31" s="20"/>
      <c r="R31" s="20"/>
      <c r="S31" s="34"/>
    </row>
    <row r="32" spans="1:19" x14ac:dyDescent="0.35">
      <c r="A32" s="31"/>
      <c r="B32" s="20"/>
      <c r="C32" s="20"/>
      <c r="D32" s="34"/>
      <c r="F32" s="31"/>
      <c r="G32" s="20"/>
      <c r="H32" s="20"/>
      <c r="I32" s="34"/>
      <c r="K32" s="31"/>
      <c r="L32" s="20"/>
      <c r="M32" s="20"/>
      <c r="N32" s="34"/>
      <c r="P32" s="31"/>
      <c r="Q32" s="20"/>
      <c r="R32" s="20"/>
      <c r="S32" s="34"/>
    </row>
    <row r="33" spans="1:19" ht="18.600000000000001" thickBot="1" x14ac:dyDescent="0.4">
      <c r="A33" s="32"/>
      <c r="B33" s="21"/>
      <c r="C33" s="21"/>
      <c r="D33" s="35"/>
      <c r="F33" s="32"/>
      <c r="G33" s="21"/>
      <c r="H33" s="21"/>
      <c r="I33" s="35"/>
      <c r="K33" s="32"/>
      <c r="L33" s="21"/>
      <c r="M33" s="21"/>
      <c r="N33" s="35"/>
      <c r="P33" s="32"/>
      <c r="Q33" s="21"/>
      <c r="R33" s="21"/>
      <c r="S33" s="35"/>
    </row>
    <row r="34" spans="1:19" ht="18.600000000000001" thickTop="1" x14ac:dyDescent="0.35"/>
  </sheetData>
  <pageMargins left="0.25" right="0.25" top="0.75" bottom="0.75" header="0.3" footer="0.3"/>
  <pageSetup paperSize="9" scale="80" fitToWidth="0" orientation="landscape" horizontalDpi="360" verticalDpi="360" r:id="rId1"/>
  <headerFooter>
    <oddHeader>&amp;C&amp;18TUONTILISTA&amp;R&amp;16&amp;D  &amp;T</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706B1670-E801-4708-B7BF-929E58FABB47}">
  <ds:schemaRefs/>
</ds:datastoreItem>
</file>

<file path=customXml/itemProps2.xml><?xml version="1.0" encoding="utf-8"?>
<ds:datastoreItem xmlns:ds="http://schemas.openxmlformats.org/officeDocument/2006/customXml" ds:itemID="{ACAE23CE-AECE-4F5C-B8F1-17428D7E9A25}">
  <ds:schemaRefs/>
</ds:datastoreItem>
</file>

<file path=customXml/itemProps3.xml><?xml version="1.0" encoding="utf-8"?>
<ds:datastoreItem xmlns:ds="http://schemas.openxmlformats.org/officeDocument/2006/customXml" ds:itemID="{98A4347E-E210-4064-880D-50D7245B66AA}">
  <ds:schemaRefs/>
</ds:datastoreItem>
</file>

<file path=customXml/itemProps4.xml><?xml version="1.0" encoding="utf-8"?>
<ds:datastoreItem xmlns:ds="http://schemas.openxmlformats.org/officeDocument/2006/customXml" ds:itemID="{F002607A-3191-4BD8-B74C-557C19EDD31B}">
  <ds:schemaRefs/>
</ds:datastoreItem>
</file>

<file path=customXml/itemProps5.xml><?xml version="1.0" encoding="utf-8"?>
<ds:datastoreItem xmlns:ds="http://schemas.openxmlformats.org/officeDocument/2006/customXml" ds:itemID="{93D144B6-80B1-47EB-B280-18AA157C0E9A}">
  <ds:schemaRefs/>
</ds:datastoreItem>
</file>

<file path=customXml/itemProps6.xml><?xml version="1.0" encoding="utf-8"?>
<ds:datastoreItem xmlns:ds="http://schemas.openxmlformats.org/officeDocument/2006/customXml" ds:itemID="{726EE494-E276-4B7E-9642-EA50397AB99D}">
  <ds:schemaRefs/>
</ds:datastoreItem>
</file>

<file path=customXml/itemProps7.xml><?xml version="1.0" encoding="utf-8"?>
<ds:datastoreItem xmlns:ds="http://schemas.openxmlformats.org/officeDocument/2006/customXml" ds:itemID="{0DABD355-B174-41EE-A9A7-426DE6878CFF}">
  <ds:schemaRefs/>
</ds:datastoreItem>
</file>

<file path=customXml/itemProps8.xml><?xml version="1.0" encoding="utf-8"?>
<ds:datastoreItem xmlns:ds="http://schemas.openxmlformats.org/officeDocument/2006/customXml" ds:itemID="{7A5682C9-0A0A-4DE3-B1DF-F96F493DE25B}">
  <ds:schemaRefs/>
</ds:datastoreItem>
</file>

<file path=customXml/itemProps9.xml><?xml version="1.0" encoding="utf-8"?>
<ds:datastoreItem xmlns:ds="http://schemas.openxmlformats.org/officeDocument/2006/customXml" ds:itemID="{BDF7C786-3C2F-4CC6-82C5-A2B1FF4AC19A}">
  <ds:schemaRefs/>
</ds:datastoreItem>
</file>

<file path=customXml/itemProps10.xml><?xml version="1.0" encoding="utf-8"?>
<ds:datastoreItem xmlns:ds="http://schemas.openxmlformats.org/officeDocument/2006/customXml" ds:itemID="{DDD6143F-96A6-4CFD-B878-A6FC6EBA1440}">
  <ds:schemaRefs/>
</ds:datastoreItem>
</file>

<file path=customXml/itemProps11.xml><?xml version="1.0" encoding="utf-8"?>
<ds:datastoreItem xmlns:ds="http://schemas.openxmlformats.org/officeDocument/2006/customXml" ds:itemID="{2308A22C-CF18-4B9F-BE0C-7961CB1B2456}">
  <ds:schemaRefs/>
</ds:datastoreItem>
</file>

<file path=customXml/itemProps12.xml><?xml version="1.0" encoding="utf-8"?>
<ds:datastoreItem xmlns:ds="http://schemas.openxmlformats.org/officeDocument/2006/customXml" ds:itemID="{DB354DDC-48FE-47ED-9865-5F9F26DD5197}">
  <ds:schemaRefs/>
</ds:datastoreItem>
</file>

<file path=customXml/itemProps13.xml><?xml version="1.0" encoding="utf-8"?>
<ds:datastoreItem xmlns:ds="http://schemas.openxmlformats.org/officeDocument/2006/customXml" ds:itemID="{86038691-27C4-4765-80A3-A153DD3E9109}">
  <ds:schemaRefs/>
</ds:datastoreItem>
</file>

<file path=customXml/itemProps14.xml><?xml version="1.0" encoding="utf-8"?>
<ds:datastoreItem xmlns:ds="http://schemas.openxmlformats.org/officeDocument/2006/customXml" ds:itemID="{2A967064-445B-4E54-A890-120BBF80674F}">
  <ds:schemaRefs/>
</ds:datastoreItem>
</file>

<file path=customXml/itemProps15.xml><?xml version="1.0" encoding="utf-8"?>
<ds:datastoreItem xmlns:ds="http://schemas.openxmlformats.org/officeDocument/2006/customXml" ds:itemID="{640A1D88-6F65-4189-8617-04E1AB8280E5}">
  <ds:schemaRefs/>
</ds:datastoreItem>
</file>

<file path=customXml/itemProps16.xml><?xml version="1.0" encoding="utf-8"?>
<ds:datastoreItem xmlns:ds="http://schemas.openxmlformats.org/officeDocument/2006/customXml" ds:itemID="{CFE78A80-AAA4-4C05-B57F-B45EE9907645}">
  <ds:schemaRefs/>
</ds:datastoreItem>
</file>

<file path=customXml/itemProps17.xml><?xml version="1.0" encoding="utf-8"?>
<ds:datastoreItem xmlns:ds="http://schemas.openxmlformats.org/officeDocument/2006/customXml" ds:itemID="{AE4AC7FD-528D-4E9B-8749-452073519031}">
  <ds:schemaRefs/>
</ds:datastoreItem>
</file>

<file path=customXml/itemProps18.xml><?xml version="1.0" encoding="utf-8"?>
<ds:datastoreItem xmlns:ds="http://schemas.openxmlformats.org/officeDocument/2006/customXml" ds:itemID="{1E1B0492-758D-4C36-9CFF-4FDD0C1B3E1A}">
  <ds:schemaRefs/>
</ds:datastoreItem>
</file>

<file path=customXml/itemProps19.xml><?xml version="1.0" encoding="utf-8"?>
<ds:datastoreItem xmlns:ds="http://schemas.openxmlformats.org/officeDocument/2006/customXml" ds:itemID="{F98F3371-D985-42B4-93EF-FBDBD7314DCE}">
  <ds:schemaRefs/>
</ds:datastoreItem>
</file>

<file path=customXml/itemProps20.xml><?xml version="1.0" encoding="utf-8"?>
<ds:datastoreItem xmlns:ds="http://schemas.openxmlformats.org/officeDocument/2006/customXml" ds:itemID="{9A625393-424F-436B-A15A-42C4899CB0DC}">
  <ds:schemaRefs/>
</ds:datastoreItem>
</file>

<file path=customXml/itemProps21.xml><?xml version="1.0" encoding="utf-8"?>
<ds:datastoreItem xmlns:ds="http://schemas.openxmlformats.org/officeDocument/2006/customXml" ds:itemID="{A9AA194D-CF91-4340-9B51-EFB50B969B9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PIVOTS</vt:lpstr>
      <vt:lpstr>uuld</vt:lpstr>
      <vt:lpstr>data</vt:lpstr>
      <vt:lpstr>wsp</vt:lpstr>
      <vt:lpstr>rahtitaksi</vt:lpstr>
      <vt:lpstr>wsp!Print_Area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Harri</dc:creator>
  <cp:lastModifiedBy>Timonen, Harri</cp:lastModifiedBy>
  <cp:lastPrinted>2021-02-17T11:58:18Z</cp:lastPrinted>
  <dcterms:created xsi:type="dcterms:W3CDTF">2015-06-05T18:17:20Z</dcterms:created>
  <dcterms:modified xsi:type="dcterms:W3CDTF">2021-03-17T12:17:42Z</dcterms:modified>
</cp:coreProperties>
</file>